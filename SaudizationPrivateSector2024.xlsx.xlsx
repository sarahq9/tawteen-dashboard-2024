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hidePivotFieldList="1"/>
  <mc:AlternateContent xmlns:mc="http://schemas.openxmlformats.org/markup-compatibility/2006">
    <mc:Choice Requires="x15">
      <x15ac:absPath xmlns:x15ac="http://schemas.microsoft.com/office/spreadsheetml/2010/11/ac" url="/Users/sarah/Desktop/"/>
    </mc:Choice>
  </mc:AlternateContent>
  <xr:revisionPtr revIDLastSave="0" documentId="13_ncr:1_{03E853B8-6E96-4E48-A6A2-20E089C2FCBF}" xr6:coauthVersionLast="47" xr6:coauthVersionMax="47" xr10:uidLastSave="{00000000-0000-0000-0000-000000000000}"/>
  <bookViews>
    <workbookView xWindow="0" yWindow="0" windowWidth="28800" windowHeight="18000" activeTab="2" xr2:uid="{0F3D1966-9A4F-3246-85AF-DCBD135F4DD4}"/>
  </bookViews>
  <sheets>
    <sheet name="data" sheetId="2" r:id="rId1"/>
    <sheet name="Analysis" sheetId="3" r:id="rId2"/>
    <sheet name="Dashboard" sheetId="7" r:id="rId3"/>
    <sheet name="chart1" sheetId="4" r:id="rId4"/>
    <sheet name="chart2" sheetId="5" r:id="rId5"/>
    <sheet name="chart3" sheetId="6" r:id="rId6"/>
  </sheets>
  <definedNames>
    <definedName name="ExternalData_1" localSheetId="0" hidden="1">data!$A$1:$I$144</definedName>
    <definedName name="Slicer_الفئة_العمرية">#N/A</definedName>
    <definedName name="Slicer_المنطقة">#N/A</definedName>
  </definedNames>
  <calcPr calcId="181029"/>
  <pivotCaches>
    <pivotCache cacheId="5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9184F2-7084-8541-AA07-608E54F48B4A}"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<sst xmlns="http://schemas.openxmlformats.org/spreadsheetml/2006/main" count="511" uniqueCount="49">
  <si>
    <t>المنطقة</t>
  </si>
  <si>
    <t>الفئة العمرية</t>
  </si>
  <si>
    <t>أنثى - سعودي</t>
  </si>
  <si>
    <t>ذكر - سعودي</t>
  </si>
  <si>
    <t>سعودى الإجمالي</t>
  </si>
  <si>
    <t>انثى - غير سعودي</t>
  </si>
  <si>
    <t>ذكر - غير سعودي</t>
  </si>
  <si>
    <t>غير سعودى الإجمالي</t>
  </si>
  <si>
    <t>الإجمالي الكلي</t>
  </si>
  <si>
    <t>الباحة</t>
  </si>
  <si>
    <t>اقل من 20</t>
  </si>
  <si>
    <t>اكبر من 65</t>
  </si>
  <si>
    <t>20-24</t>
  </si>
  <si>
    <t>25-29</t>
  </si>
  <si>
    <t>30-34</t>
  </si>
  <si>
    <t>35-39</t>
  </si>
  <si>
    <t>40-44</t>
  </si>
  <si>
    <t>45-49</t>
  </si>
  <si>
    <t>50-54</t>
  </si>
  <si>
    <t>55-59</t>
  </si>
  <si>
    <t>60-64</t>
  </si>
  <si>
    <t>الجوف</t>
  </si>
  <si>
    <t>الحدود الشمالية</t>
  </si>
  <si>
    <t>الرياض</t>
  </si>
  <si>
    <t>الشرقية</t>
  </si>
  <si>
    <t>القصيم</t>
  </si>
  <si>
    <t>المدينة</t>
  </si>
  <si>
    <t>تبوك</t>
  </si>
  <si>
    <t>جازان</t>
  </si>
  <si>
    <t>حائل</t>
  </si>
  <si>
    <t>عسير</t>
  </si>
  <si>
    <t>مكة المكرمة</t>
  </si>
  <si>
    <t>نجران</t>
  </si>
  <si>
    <t>معدل التوطين</t>
  </si>
  <si>
    <t>نسبة تأنيث السعوديين</t>
  </si>
  <si>
    <t>اعتماد على الوافد</t>
  </si>
  <si>
    <t>نسبة الذكور الوافدين</t>
  </si>
  <si>
    <t>نسبة الذكور السعوديين</t>
  </si>
  <si>
    <t>Row Labels</t>
  </si>
  <si>
    <t>Average of معدل التوطين</t>
  </si>
  <si>
    <t>Average of نسبة تأنيث السعوديين</t>
  </si>
  <si>
    <t>Average of اعتماد على الوافد</t>
  </si>
  <si>
    <t>Average of نسبة الذكور السعوديين</t>
  </si>
  <si>
    <t>Average of نسبة الذكور الوافدين</t>
  </si>
  <si>
    <t xml:space="preserve"> معدل التوطين</t>
  </si>
  <si>
    <t>أداء التوطين والاستدامة للقطاع الخاص 2024</t>
  </si>
  <si>
    <t>يستعرض هذا التقرير أداء القوى العاملة الوطنية حسب المنطقة والفئة العمرية، مع التركيز على مؤشرات التوطين وتطور مشاركة المرأة السعودية</t>
  </si>
  <si>
    <t>غير سعودي</t>
  </si>
  <si>
    <t>سعودي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</si>
</sst>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0.0%"/>
    <numFmt numFmtId="170" formatCode="_(* #,##0_);_(* \(#,##0\);_(* &quot;-&quot;??_);_(@_)"/>
  </numFmts>
  <fonts count="5">
    <font>
      <sz val="12"/>
      <color theme="1"/>
      <name val="Corbel"/>
      <family val="2"/>
      <scheme val="minor"/>
    </font>
    <font>
      <sz val="12"/>
      <color theme="1"/>
      <name val="Corbel"/>
      <family val="2"/>
      <scheme val="minor"/>
    </font>
    <font>
      <sz val="12"/>
      <color theme="1"/>
      <name val="Segoe UI"/>
    </font>
    <font>
      <b/>
      <sz val="22"/>
      <color theme="0"/>
      <name val="Segoe UI"/>
    </font>
    <font>
      <sz val="14"/>
      <color theme="0"/>
      <name val="Tahoma"/>
      <family val="2"/>
    </font>
  </fonts>
  <fills count="4">
    <fill>
      <patternFill patternType="none"/>
    </fill>
    <fill>
      <patternFill patternType="gray125"/>
    </fill>
    <fill>
      <patternFill patternType="solid">
        <fgColor theme="2" tint="-0.499984740745262"/>
        <bgColor indexed="64"/>
      </patternFill>
    </fill>
    <fill>
      <patternFill patternType="solid">
        <fgColor theme="2"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xf numFmtId="9" fontId="0" fillId="0" borderId="0" xfId="2" applyFont="1"/>
    <xf numFmtId="165" fontId="0" fillId="0" borderId="0" xfId="0" applyNumberFormat="1"/>
    <xf numFmtId="0" fontId="0" fillId="2" borderId="0" xfId="0" applyFill="1"/>
    <xf numFmtId="0" fontId="0" fillId="3" borderId="0" xfId="0" applyFill="1"/>
    <xf numFmtId="0" fontId="0" fillId="0" borderId="0" xfId="0" applyFill="1"/>
    <xf numFmtId="0" fontId="4" fillId="2" borderId="0" xfId="0" applyFont="1" applyFill="1" applyAlignment="1">
      <alignment horizontal="right" vertical="center" wrapText="1"/>
    </xf>
    <xf numFmtId="0" fontId="4" fillId="2" borderId="0" xfId="0" applyFont="1" applyFill="1" applyAlignment="1">
      <alignment horizontal="right" vertical="center"/>
    </xf>
    <xf numFmtId="0" fontId="3" fillId="2" borderId="0" xfId="0" applyFont="1" applyFill="1" applyAlignment="1">
      <alignment horizontal="right"/>
    </xf>
    <xf numFmtId="170" fontId="0" fillId="0" borderId="0" xfId="0" applyNumberFormat="1"/>
    <xf numFmtId="170" fontId="0" fillId="0" borderId="0" xfId="1" applyNumberFormat="1" applyFont="1"/>
    <xf numFmtId="0" fontId="2" fillId="0" borderId="0" xfId="0" applyFont="1" applyAlignment="1">
      <alignment horizontal="center" vertical="center"/>
    </xf>
    <xf numFmtId="9" fontId="2" fillId="0" borderId="0" xfId="2" applyFont="1" applyAlignment="1">
      <alignment horizontal="center" vertical="center"/>
    </xf>
    <xf numFmtId="0" fontId="2" fillId="0" borderId="0" xfId="0" applyNumberFormat="1" applyFont="1" applyAlignment="1">
      <alignment horizontal="center" vertical="center"/>
    </xf>
    <xf numFmtId="9" fontId="2" fillId="0" borderId="0" xfId="2" applyNumberFormat="1" applyFont="1" applyAlignment="1">
      <alignment horizontal="center" vertical="center"/>
    </xf>
  </cellXfs>
  <cellStyles count="3">
    <cellStyle name="Comma" xfId="1" builtinId="3"/>
    <cellStyle name="Normal" xfId="0" builtinId="0"/>
    <cellStyle name="Percent" xfId="2" builtinId="5"/>
  </cellStyles>
  <dxfs count="582">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3" formatCode="0%"/>
    </dxf>
    <dxf>
      <numFmt numFmtId="13" formatCode="0%"/>
    </dxf>
    <dxf>
      <numFmt numFmtId="13" formatCode="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3" formatCode="0%"/>
    </dxf>
    <dxf>
      <numFmt numFmtId="13" formatCode="0%"/>
    </dxf>
    <dxf>
      <numFmt numFmtId="13" formatCode="0%"/>
    </dxf>
    <dxf>
      <numFmt numFmtId="165" formatCode="0.0%"/>
    </dxf>
    <dxf>
      <numFmt numFmtId="13" formatCode="0%"/>
    </dxf>
    <dxf>
      <numFmt numFmtId="13" formatCode="0%"/>
    </dxf>
    <dxf>
      <numFmt numFmtId="13" formatCode="0%"/>
    </dxf>
    <dxf>
      <numFmt numFmtId="13" formatCode="0%"/>
    </dxf>
    <dxf>
      <numFmt numFmtId="13" formatCode="0%"/>
    </dxf>
    <dxf>
      <numFmt numFmtId="165" formatCode="0.0%"/>
    </dxf>
    <dxf>
      <numFmt numFmtId="165" formatCode="0.0%"/>
    </dxf>
    <dxf>
      <numFmt numFmtId="165" formatCode="0.0%"/>
    </dxf>
    <dxf>
      <numFmt numFmtId="165" formatCode="0.0%"/>
    </dxf>
    <dxf>
      <numFmt numFmtId="165" formatCode="0.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alignment horizontal="center" vertical="center" textRotation="0" wrapText="0" indent="0" justifyLastLine="0" shrinkToFit="0" readingOrder="0"/>
    </dxf>
    <dxf>
      <font>
        <strike val="0"/>
        <outline val="0"/>
        <shadow val="0"/>
        <u val="none"/>
        <vertAlign val="baseline"/>
        <sz val="12"/>
        <color theme="1"/>
        <name val="Segoe UI"/>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Segoe UI"/>
        <scheme val="none"/>
      </font>
      <numFmt numFmtId="0" formatCode="General"/>
      <alignment horizontal="center" vertical="center" textRotation="0" wrapText="0" indent="0" justifyLastLine="0" shrinkToFit="0" readingOrder="0"/>
    </dxf>
  </dxfs>
  <tableStyles count="0" defaultTableStyle="TableStyleMedium2" defaultPivotStyle="PivotStyleLight16"/>
  <colors>
    <mruColors>
      <color rgb="FF8FC5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.xlsx]chart2!PivotTable5</c:name>
    <c:fmtId val="5"/>
  </c:pivotSource>
  <c:chart>
    <c:title>
      <c:tx>
        <c:rich>
          <a:bodyPr rot="0" spcFirstLastPara="1" vertOverflow="ellipsis" vert="horz" wrap="square" anchor="ctr" anchorCtr="1"/>
          <a:lstStyle/>
          <a:p>
            <a:pPr>
              <a:defRPr sz="2200" b="0" i="0" u="none" strike="noStrike" kern="1200" spc="0" baseline="0">
                <a:solidFill>
                  <a:schemeClr val="tx1">
                    <a:lumMod val="75000"/>
                    <a:lumOff val="25000"/>
                  </a:schemeClr>
                </a:solidFill>
                <a:latin typeface="+mn-lt"/>
                <a:ea typeface="+mn-ea"/>
                <a:cs typeface="+mn-cs"/>
              </a:defRPr>
            </a:pPr>
            <a:r>
              <a:rPr lang="ar-SA" sz="2200" b="0" i="0" u="none" strike="noStrike" kern="1200" cap="none" spc="0" normalizeH="0" baseline="0">
                <a:solidFill>
                  <a:schemeClr val="tx1">
                    <a:lumMod val="75000"/>
                    <a:lumOff val="25000"/>
                  </a:schemeClr>
                </a:solidFill>
              </a:rPr>
              <a:t> معدل التوطين بين المناطق</a:t>
            </a:r>
            <a:endParaRPr lang="en-US" sz="2200" b="0" i="0" u="none" strike="noStrike" kern="1200" cap="none" spc="0" normalizeH="0"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75000"/>
                  <a:lumOff val="2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chart2!$C$7</c:f>
              <c:strCache>
                <c:ptCount val="1"/>
                <c:pt idx="0">
                  <c:v>Total</c:v>
                </c:pt>
              </c:strCache>
            </c:strRef>
          </c:tx>
          <c:spPr>
            <a:solidFill>
              <a:schemeClr val="bg2">
                <a:lumMod val="50000"/>
              </a:schemeClr>
            </a:solidFill>
            <a:ln>
              <a:noFill/>
            </a:ln>
            <a:effectLst/>
          </c:spPr>
          <c:invertIfNegative val="0"/>
          <c:cat>
            <c:strRef>
              <c:f>chart2!$B$8:$B$20</c:f>
              <c:strCache>
                <c:ptCount val="13"/>
                <c:pt idx="0">
                  <c:v>حائل</c:v>
                </c:pt>
                <c:pt idx="1">
                  <c:v>نجران</c:v>
                </c:pt>
                <c:pt idx="2">
                  <c:v>جازان</c:v>
                </c:pt>
                <c:pt idx="3">
                  <c:v>الباحة</c:v>
                </c:pt>
                <c:pt idx="4">
                  <c:v>الحدود الشمالية</c:v>
                </c:pt>
                <c:pt idx="5">
                  <c:v>الجوف</c:v>
                </c:pt>
                <c:pt idx="6">
                  <c:v>القصيم</c:v>
                </c:pt>
                <c:pt idx="7">
                  <c:v>عسير</c:v>
                </c:pt>
                <c:pt idx="8">
                  <c:v>تبوك</c:v>
                </c:pt>
                <c:pt idx="9">
                  <c:v>المدينة</c:v>
                </c:pt>
                <c:pt idx="10">
                  <c:v>الرياض</c:v>
                </c:pt>
                <c:pt idx="11">
                  <c:v>مكة المكرمة</c:v>
                </c:pt>
                <c:pt idx="12">
                  <c:v>الشرقية</c:v>
                </c:pt>
              </c:strCache>
            </c:strRef>
          </c:cat>
          <c:val>
            <c:numRef>
              <c:f>chart2!$C$8:$C$20</c:f>
              <c:numCache>
                <c:formatCode>0.0%</c:formatCode>
                <c:ptCount val="13"/>
                <c:pt idx="0">
                  <c:v>0.17390142075593568</c:v>
                </c:pt>
                <c:pt idx="1">
                  <c:v>0.17613103859994622</c:v>
                </c:pt>
                <c:pt idx="2">
                  <c:v>0.18240137495373795</c:v>
                </c:pt>
                <c:pt idx="3">
                  <c:v>0.18966088433457468</c:v>
                </c:pt>
                <c:pt idx="4">
                  <c:v>0.18992495044192081</c:v>
                </c:pt>
                <c:pt idx="5">
                  <c:v>0.19774810124575135</c:v>
                </c:pt>
                <c:pt idx="6">
                  <c:v>0.20057732584320948</c:v>
                </c:pt>
                <c:pt idx="7">
                  <c:v>0.21305544173044461</c:v>
                </c:pt>
                <c:pt idx="8">
                  <c:v>0.22346756612791194</c:v>
                </c:pt>
                <c:pt idx="9">
                  <c:v>0.2395553014931118</c:v>
                </c:pt>
                <c:pt idx="10">
                  <c:v>0.24278274616410858</c:v>
                </c:pt>
                <c:pt idx="11">
                  <c:v>0.27345909240595589</c:v>
                </c:pt>
                <c:pt idx="12">
                  <c:v>0.29156117072077692</c:v>
                </c:pt>
              </c:numCache>
            </c:numRef>
          </c:val>
          <c:extLst>
            <c:ext xmlns:c16="http://schemas.microsoft.com/office/drawing/2014/chart" uri="{C3380CC4-5D6E-409C-BE32-E72D297353CC}">
              <c16:uniqueId val="{00000000-24C7-4E41-B722-3BDF1D272A4D}"/>
            </c:ext>
          </c:extLst>
        </c:ser>
        <c:dLbls>
          <c:showLegendKey val="0"/>
          <c:showVal val="0"/>
          <c:showCatName val="0"/>
          <c:showSerName val="0"/>
          <c:showPercent val="0"/>
          <c:showBubbleSize val="0"/>
        </c:dLbls>
        <c:gapWidth val="190"/>
        <c:overlap val="-27"/>
        <c:axId val="1498890976"/>
        <c:axId val="1498692816"/>
      </c:barChart>
      <c:catAx>
        <c:axId val="14988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98692816"/>
        <c:crosses val="autoZero"/>
        <c:auto val="1"/>
        <c:lblAlgn val="ctr"/>
        <c:lblOffset val="100"/>
        <c:noMultiLvlLbl val="0"/>
      </c:catAx>
      <c:valAx>
        <c:axId val="1498692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9889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.xlsx]chart3!PivotTable6</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ar-SA" sz="2000"/>
              <a:t>تطور نسبة تأنيث السعوديين مع التقدم في العمر</a:t>
            </a:r>
            <a:r>
              <a:rPr lang="en-US" sz="2000"/>
              <a:t>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1976401412969772E-2"/>
              <c:y val="-7.186052752686622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2684981788714489E-2"/>
              <c:y val="6.648817026096685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5.3585222050425221E-3"/>
              <c:y val="-6.787366446853797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9678367851723031E-2"/>
              <c:y val="8.017253779449756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1349867317091904E-2"/>
              <c:y val="-5.296254812131481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362698578097951E-2"/>
              <c:y val="6.871931810956938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3.1024709234367401E-2"/>
              <c:y val="6.871931810956938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1.8921945092880133E-2"/>
              <c:y val="-6.012940334587325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2.6345667605145163E-2"/>
              <c:y val="5.895720032217556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2.8163346576290625E-3"/>
              <c:y val="9.330518727141470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
          <c:idx val="0"/>
          <c:layout>
            <c:manualLayout>
              <c:x val="-2.3336027395783238E-2"/>
              <c:y val="-6.19050603382843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5247945653984163E-2"/>
              <c:y val="-1.789179165458101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49590543914085E-2"/>
          <c:y val="0.18197493902465209"/>
          <c:w val="0.95710969814565749"/>
          <c:h val="0.72944168482949623"/>
        </c:manualLayout>
      </c:layout>
      <c:lineChart>
        <c:grouping val="standard"/>
        <c:varyColors val="0"/>
        <c:ser>
          <c:idx val="0"/>
          <c:order val="0"/>
          <c:tx>
            <c:strRef>
              <c:f>chart3!$B$1</c:f>
              <c:strCache>
                <c:ptCount val="1"/>
                <c:pt idx="0">
                  <c:v>Total</c:v>
                </c:pt>
              </c:strCache>
            </c:strRef>
          </c:tx>
          <c:spPr>
            <a:ln w="28575" cap="rnd">
              <a:solidFill>
                <a:schemeClr val="bg2">
                  <a:lumMod val="50000"/>
                </a:schemeClr>
              </a:solidFill>
              <a:round/>
            </a:ln>
            <a:effectLst>
              <a:outerShdw blurRad="337800" dist="50800" dir="5400000" sx="1000" sy="1000" algn="ctr" rotWithShape="0">
                <a:srgbClr val="000000">
                  <a:alpha val="43137"/>
                </a:srgbClr>
              </a:outerShdw>
            </a:effectLst>
          </c:spPr>
          <c:marker>
            <c:symbol val="circle"/>
            <c:size val="5"/>
            <c:spPr>
              <a:solidFill>
                <a:schemeClr val="bg2">
                  <a:lumMod val="50000"/>
                </a:schemeClr>
              </a:solidFill>
              <a:ln w="9525">
                <a:solidFill>
                  <a:schemeClr val="accent1"/>
                </a:solidFill>
              </a:ln>
              <a:effectLst>
                <a:outerShdw blurRad="337800" dist="50800" dir="5400000" sx="1000" sy="1000" algn="ctr" rotWithShape="0">
                  <a:srgbClr val="000000">
                    <a:alpha val="43137"/>
                  </a:srgbClr>
                </a:outerShdw>
              </a:effectLst>
            </c:spPr>
          </c:marker>
          <c:dLbls>
            <c:dLbl>
              <c:idx val="0"/>
              <c:layout>
                <c:manualLayout>
                  <c:x val="-2.6345667605145163E-2"/>
                  <c:y val="5.8957200322175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640-4D49-AFA5-884D225C3483}"/>
                </c:ext>
              </c:extLst>
            </c:dLbl>
            <c:dLbl>
              <c:idx val="1"/>
              <c:layout>
                <c:manualLayout>
                  <c:x val="-2.8163346576290625E-3"/>
                  <c:y val="9.33051872714147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40-4D49-AFA5-884D225C3483}"/>
                </c:ext>
              </c:extLst>
            </c:dLbl>
            <c:dLbl>
              <c:idx val="2"/>
              <c:layout>
                <c:manualLayout>
                  <c:x val="-2.3336027395783238E-2"/>
                  <c:y val="-6.19050603382843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640-4D49-AFA5-884D225C3483}"/>
                </c:ext>
              </c:extLst>
            </c:dLbl>
            <c:dLbl>
              <c:idx val="3"/>
              <c:layout>
                <c:manualLayout>
                  <c:x val="-1.2684981788714489E-2"/>
                  <c:y val="6.6488170260966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40-4D49-AFA5-884D225C3483}"/>
                </c:ext>
              </c:extLst>
            </c:dLbl>
            <c:dLbl>
              <c:idx val="4"/>
              <c:layout>
                <c:manualLayout>
                  <c:x val="-1.8921945092880133E-2"/>
                  <c:y val="-6.01294033458732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40-4D49-AFA5-884D225C3483}"/>
                </c:ext>
              </c:extLst>
            </c:dLbl>
            <c:dLbl>
              <c:idx val="5"/>
              <c:layout>
                <c:manualLayout>
                  <c:x val="-3.1024709234367401E-2"/>
                  <c:y val="6.8719318109569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40-4D49-AFA5-884D225C3483}"/>
                </c:ext>
              </c:extLst>
            </c:dLbl>
            <c:dLbl>
              <c:idx val="6"/>
              <c:layout>
                <c:manualLayout>
                  <c:x val="-1.1976401412969772E-2"/>
                  <c:y val="-7.18605275268662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40-4D49-AFA5-884D225C3483}"/>
                </c:ext>
              </c:extLst>
            </c:dLbl>
            <c:dLbl>
              <c:idx val="7"/>
              <c:layout>
                <c:manualLayout>
                  <c:x val="-1.362698578097951E-2"/>
                  <c:y val="6.87193181095693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40-4D49-AFA5-884D225C3483}"/>
                </c:ext>
              </c:extLst>
            </c:dLbl>
            <c:dLbl>
              <c:idx val="8"/>
              <c:layout>
                <c:manualLayout>
                  <c:x val="-1.1349867317091904E-2"/>
                  <c:y val="-5.29625481213148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40-4D49-AFA5-884D225C3483}"/>
                </c:ext>
              </c:extLst>
            </c:dLbl>
            <c:dLbl>
              <c:idx val="9"/>
              <c:layout>
                <c:manualLayout>
                  <c:x val="-1.9678367851723031E-2"/>
                  <c:y val="8.01725377944975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0-4D49-AFA5-884D225C3483}"/>
                </c:ext>
              </c:extLst>
            </c:dLbl>
            <c:dLbl>
              <c:idx val="10"/>
              <c:layout>
                <c:manualLayout>
                  <c:x val="-5.3585222050425221E-3"/>
                  <c:y val="-6.7873664468537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40-4D49-AFA5-884D225C348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chart3!$A$2:$A$12</c:f>
              <c:strCache>
                <c:ptCount val="11"/>
                <c:pt idx="0">
                  <c:v>20-24</c:v>
                </c:pt>
                <c:pt idx="1">
                  <c:v>25-29</c:v>
                </c:pt>
                <c:pt idx="2">
                  <c:v>30-34</c:v>
                </c:pt>
                <c:pt idx="3">
                  <c:v>35-39</c:v>
                </c:pt>
                <c:pt idx="4">
                  <c:v>40-44</c:v>
                </c:pt>
                <c:pt idx="5">
                  <c:v>45-49</c:v>
                </c:pt>
                <c:pt idx="6">
                  <c:v>50-54</c:v>
                </c:pt>
                <c:pt idx="7">
                  <c:v>55-59</c:v>
                </c:pt>
                <c:pt idx="8">
                  <c:v>60-64</c:v>
                </c:pt>
                <c:pt idx="9">
                  <c:v>اقل من 20</c:v>
                </c:pt>
                <c:pt idx="10">
                  <c:v>اكبر من 65</c:v>
                </c:pt>
              </c:strCache>
            </c:strRef>
          </c:cat>
          <c:val>
            <c:numRef>
              <c:f>chart3!$B$2:$B$12</c:f>
              <c:numCache>
                <c:formatCode>0.0%</c:formatCode>
                <c:ptCount val="11"/>
                <c:pt idx="0">
                  <c:v>0.33319384467162177</c:v>
                </c:pt>
                <c:pt idx="1">
                  <c:v>0.45008920134033581</c:v>
                </c:pt>
                <c:pt idx="2">
                  <c:v>0.47019415758398164</c:v>
                </c:pt>
                <c:pt idx="3">
                  <c:v>0.48923959118194676</c:v>
                </c:pt>
                <c:pt idx="4">
                  <c:v>0.50876633958614204</c:v>
                </c:pt>
                <c:pt idx="5">
                  <c:v>0.47458967622064352</c:v>
                </c:pt>
                <c:pt idx="6">
                  <c:v>0.47079803190789771</c:v>
                </c:pt>
                <c:pt idx="7">
                  <c:v>0.4285382281751659</c:v>
                </c:pt>
                <c:pt idx="8">
                  <c:v>0.41033964471666767</c:v>
                </c:pt>
                <c:pt idx="9">
                  <c:v>0.30046492771191047</c:v>
                </c:pt>
                <c:pt idx="10">
                  <c:v>0.3695029883121696</c:v>
                </c:pt>
              </c:numCache>
            </c:numRef>
          </c:val>
          <c:smooth val="0"/>
          <c:extLst>
            <c:ext xmlns:c16="http://schemas.microsoft.com/office/drawing/2014/chart" uri="{C3380CC4-5D6E-409C-BE32-E72D297353CC}">
              <c16:uniqueId val="{00000000-4640-4D49-AFA5-884D225C3483}"/>
            </c:ext>
          </c:extLst>
        </c:ser>
        <c:dLbls>
          <c:dLblPos val="ctr"/>
          <c:showLegendKey val="0"/>
          <c:showVal val="1"/>
          <c:showCatName val="0"/>
          <c:showSerName val="0"/>
          <c:showPercent val="0"/>
          <c:showBubbleSize val="0"/>
        </c:dLbls>
        <c:marker val="1"/>
        <c:smooth val="0"/>
        <c:axId val="1197206080"/>
        <c:axId val="1404329584"/>
      </c:lineChart>
      <c:catAx>
        <c:axId val="11972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04329584"/>
        <c:crosses val="autoZero"/>
        <c:auto val="1"/>
        <c:lblAlgn val="ctr"/>
        <c:lblOffset val="100"/>
        <c:noMultiLvlLbl val="0"/>
      </c:catAx>
      <c:valAx>
        <c:axId val="14043295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19720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latin typeface="Tahoma" panose="020B0604030504040204" pitchFamily="34" charset="0"/>
          <a:ea typeface="Tahoma" panose="020B0604030504040204" pitchFamily="34" charset="0"/>
          <a:cs typeface="Tahoma" panose="020B0604030504040204" pitchFamily="34" charset="0"/>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.xlsx]chart1!PivotTable4</c:name>
    <c:fmtId val="1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sz="2000" b="0" i="0" u="none" strike="noStrike" kern="1200" spc="0" baseline="0">
                <a:solidFill>
                  <a:schemeClr val="tx1">
                    <a:lumMod val="75000"/>
                    <a:lumOff val="25000"/>
                  </a:schemeClr>
                </a:solidFill>
                <a:effectLst/>
              </a:rPr>
              <a:t>توزيع القوة العاملة حسب الفئة العمرية</a:t>
            </a:r>
            <a:endParaRPr lang="en-US" sz="2000" b="0" i="0" u="none" strike="noStrike" kern="1200" spc="0"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50000"/>
              <a:alpha val="89619"/>
            </a:schemeClr>
          </a:soli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FC5CF">
              <a:alpha val="70000"/>
            </a:srgb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chart1!$B$6</c:f>
              <c:strCache>
                <c:ptCount val="1"/>
                <c:pt idx="0">
                  <c:v>سعودي</c:v>
                </c:pt>
              </c:strCache>
            </c:strRef>
          </c:tx>
          <c:spPr>
            <a:solidFill>
              <a:schemeClr val="bg2">
                <a:lumMod val="50000"/>
                <a:alpha val="89619"/>
              </a:schemeClr>
            </a:soli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chart1!$A$7:$A$17</c:f>
              <c:strCache>
                <c:ptCount val="11"/>
                <c:pt idx="0">
                  <c:v>25-29</c:v>
                </c:pt>
                <c:pt idx="1">
                  <c:v>30-34</c:v>
                </c:pt>
                <c:pt idx="2">
                  <c:v>35-39</c:v>
                </c:pt>
                <c:pt idx="3">
                  <c:v>20-24</c:v>
                </c:pt>
                <c:pt idx="4">
                  <c:v>40-44</c:v>
                </c:pt>
                <c:pt idx="5">
                  <c:v>45-49</c:v>
                </c:pt>
                <c:pt idx="6">
                  <c:v>50-54</c:v>
                </c:pt>
                <c:pt idx="7">
                  <c:v>55-59</c:v>
                </c:pt>
                <c:pt idx="8">
                  <c:v>اقل من 20</c:v>
                </c:pt>
                <c:pt idx="9">
                  <c:v>60-64</c:v>
                </c:pt>
                <c:pt idx="10">
                  <c:v>اكبر من 65</c:v>
                </c:pt>
              </c:strCache>
            </c:strRef>
          </c:cat>
          <c:val>
            <c:numRef>
              <c:f>chart1!$B$7:$B$17</c:f>
              <c:numCache>
                <c:formatCode>_(* #,##0_);_(* \(#,##0\);_(* "-"??_);_(@_)</c:formatCode>
                <c:ptCount val="11"/>
                <c:pt idx="0">
                  <c:v>552466</c:v>
                </c:pt>
                <c:pt idx="1">
                  <c:v>506150</c:v>
                </c:pt>
                <c:pt idx="2">
                  <c:v>361689</c:v>
                </c:pt>
                <c:pt idx="3">
                  <c:v>361032</c:v>
                </c:pt>
                <c:pt idx="4">
                  <c:v>253878</c:v>
                </c:pt>
                <c:pt idx="5">
                  <c:v>158068</c:v>
                </c:pt>
                <c:pt idx="6">
                  <c:v>93330</c:v>
                </c:pt>
                <c:pt idx="7">
                  <c:v>68348</c:v>
                </c:pt>
                <c:pt idx="8">
                  <c:v>43048</c:v>
                </c:pt>
                <c:pt idx="9">
                  <c:v>30811</c:v>
                </c:pt>
                <c:pt idx="10">
                  <c:v>14773</c:v>
                </c:pt>
              </c:numCache>
            </c:numRef>
          </c:val>
          <c:extLst>
            <c:ext xmlns:c16="http://schemas.microsoft.com/office/drawing/2014/chart" uri="{C3380CC4-5D6E-409C-BE32-E72D297353CC}">
              <c16:uniqueId val="{00000000-2BCA-4A4E-A435-D954F7EF707B}"/>
            </c:ext>
          </c:extLst>
        </c:ser>
        <c:ser>
          <c:idx val="1"/>
          <c:order val="1"/>
          <c:tx>
            <c:strRef>
              <c:f>chart1!$C$6</c:f>
              <c:strCache>
                <c:ptCount val="1"/>
                <c:pt idx="0">
                  <c:v>غير سعودي</c:v>
                </c:pt>
              </c:strCache>
            </c:strRef>
          </c:tx>
          <c:spPr>
            <a:solidFill>
              <a:srgbClr val="8FC5CF">
                <a:alpha val="70000"/>
              </a:srgbClr>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ahoma" panose="020B0604030504040204" pitchFamily="34" charset="0"/>
                    <a:ea typeface="Tahoma" panose="020B0604030504040204" pitchFamily="34" charset="0"/>
                    <a:cs typeface="Tahoma" panose="020B0604030504040204" pitchFamily="34" charset="0"/>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chart1!$A$7:$A$17</c:f>
              <c:strCache>
                <c:ptCount val="11"/>
                <c:pt idx="0">
                  <c:v>25-29</c:v>
                </c:pt>
                <c:pt idx="1">
                  <c:v>30-34</c:v>
                </c:pt>
                <c:pt idx="2">
                  <c:v>35-39</c:v>
                </c:pt>
                <c:pt idx="3">
                  <c:v>20-24</c:v>
                </c:pt>
                <c:pt idx="4">
                  <c:v>40-44</c:v>
                </c:pt>
                <c:pt idx="5">
                  <c:v>45-49</c:v>
                </c:pt>
                <c:pt idx="6">
                  <c:v>50-54</c:v>
                </c:pt>
                <c:pt idx="7">
                  <c:v>55-59</c:v>
                </c:pt>
                <c:pt idx="8">
                  <c:v>اقل من 20</c:v>
                </c:pt>
                <c:pt idx="9">
                  <c:v>60-64</c:v>
                </c:pt>
                <c:pt idx="10">
                  <c:v>اكبر من 65</c:v>
                </c:pt>
              </c:strCache>
            </c:strRef>
          </c:cat>
          <c:val>
            <c:numRef>
              <c:f>chart1!$C$7:$C$17</c:f>
              <c:numCache>
                <c:formatCode>_(* #,##0_);_(* \(#,##0\);_(* "-"??_);_(@_)</c:formatCode>
                <c:ptCount val="11"/>
                <c:pt idx="0">
                  <c:v>1701890</c:v>
                </c:pt>
                <c:pt idx="1">
                  <c:v>1649363</c:v>
                </c:pt>
                <c:pt idx="2">
                  <c:v>1782467</c:v>
                </c:pt>
                <c:pt idx="3">
                  <c:v>635984</c:v>
                </c:pt>
                <c:pt idx="4">
                  <c:v>1482761</c:v>
                </c:pt>
                <c:pt idx="5">
                  <c:v>998816</c:v>
                </c:pt>
                <c:pt idx="6">
                  <c:v>581965</c:v>
                </c:pt>
                <c:pt idx="7">
                  <c:v>410740</c:v>
                </c:pt>
                <c:pt idx="8">
                  <c:v>1367</c:v>
                </c:pt>
                <c:pt idx="9">
                  <c:v>227400</c:v>
                </c:pt>
                <c:pt idx="10">
                  <c:v>174876</c:v>
                </c:pt>
              </c:numCache>
            </c:numRef>
          </c:val>
          <c:extLst>
            <c:ext xmlns:c16="http://schemas.microsoft.com/office/drawing/2014/chart" uri="{C3380CC4-5D6E-409C-BE32-E72D297353CC}">
              <c16:uniqueId val="{00000001-2BCA-4A4E-A435-D954F7EF707B}"/>
            </c:ext>
          </c:extLst>
        </c:ser>
        <c:dLbls>
          <c:dLblPos val="ctr"/>
          <c:showLegendKey val="0"/>
          <c:showVal val="1"/>
          <c:showCatName val="0"/>
          <c:showSerName val="0"/>
          <c:showPercent val="0"/>
          <c:showBubbleSize val="0"/>
        </c:dLbls>
        <c:gapWidth val="50"/>
        <c:overlap val="100"/>
        <c:axId val="1481665920"/>
        <c:axId val="1481667632"/>
      </c:barChart>
      <c:catAx>
        <c:axId val="14816659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3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81667632"/>
        <c:crosses val="autoZero"/>
        <c:auto val="1"/>
        <c:lblAlgn val="ctr"/>
        <c:lblOffset val="100"/>
        <c:noMultiLvlLbl val="0"/>
      </c:catAx>
      <c:valAx>
        <c:axId val="1481667632"/>
        <c:scaling>
          <c:orientation val="minMax"/>
        </c:scaling>
        <c:delete val="0"/>
        <c:axPos val="b"/>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81665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.xlsx]chart1!PivotTable4</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ar-SA" sz="1800" b="0" i="0" u="none" strike="noStrike" kern="1200" spc="0" baseline="0">
                <a:solidFill>
                  <a:schemeClr val="tx1">
                    <a:lumMod val="75000"/>
                    <a:lumOff val="25000"/>
                  </a:schemeClr>
                </a:solidFill>
                <a:effectLst/>
              </a:rPr>
              <a:t>توزيع القوة العاملة حسب الفئة العمرية</a:t>
            </a:r>
            <a:endParaRPr lang="en-US" sz="1800" b="0" i="0" u="none" strike="noStrike" kern="1200" spc="0"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S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chart1!$B$6</c:f>
              <c:strCache>
                <c:ptCount val="1"/>
                <c:pt idx="0">
                  <c:v>سعودي</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chart1!$A$7:$A$17</c:f>
              <c:strCache>
                <c:ptCount val="11"/>
                <c:pt idx="0">
                  <c:v>25-29</c:v>
                </c:pt>
                <c:pt idx="1">
                  <c:v>30-34</c:v>
                </c:pt>
                <c:pt idx="2">
                  <c:v>35-39</c:v>
                </c:pt>
                <c:pt idx="3">
                  <c:v>20-24</c:v>
                </c:pt>
                <c:pt idx="4">
                  <c:v>40-44</c:v>
                </c:pt>
                <c:pt idx="5">
                  <c:v>45-49</c:v>
                </c:pt>
                <c:pt idx="6">
                  <c:v>50-54</c:v>
                </c:pt>
                <c:pt idx="7">
                  <c:v>55-59</c:v>
                </c:pt>
                <c:pt idx="8">
                  <c:v>اقل من 20</c:v>
                </c:pt>
                <c:pt idx="9">
                  <c:v>60-64</c:v>
                </c:pt>
                <c:pt idx="10">
                  <c:v>اكبر من 65</c:v>
                </c:pt>
              </c:strCache>
            </c:strRef>
          </c:cat>
          <c:val>
            <c:numRef>
              <c:f>chart1!$B$7:$B$17</c:f>
              <c:numCache>
                <c:formatCode>_(* #,##0_);_(* \(#,##0\);_(* "-"??_);_(@_)</c:formatCode>
                <c:ptCount val="11"/>
                <c:pt idx="0">
                  <c:v>552466</c:v>
                </c:pt>
                <c:pt idx="1">
                  <c:v>506150</c:v>
                </c:pt>
                <c:pt idx="2">
                  <c:v>361689</c:v>
                </c:pt>
                <c:pt idx="3">
                  <c:v>361032</c:v>
                </c:pt>
                <c:pt idx="4">
                  <c:v>253878</c:v>
                </c:pt>
                <c:pt idx="5">
                  <c:v>158068</c:v>
                </c:pt>
                <c:pt idx="6">
                  <c:v>93330</c:v>
                </c:pt>
                <c:pt idx="7">
                  <c:v>68348</c:v>
                </c:pt>
                <c:pt idx="8">
                  <c:v>43048</c:v>
                </c:pt>
                <c:pt idx="9">
                  <c:v>30811</c:v>
                </c:pt>
                <c:pt idx="10">
                  <c:v>14773</c:v>
                </c:pt>
              </c:numCache>
            </c:numRef>
          </c:val>
          <c:extLst>
            <c:ext xmlns:c16="http://schemas.microsoft.com/office/drawing/2014/chart" uri="{C3380CC4-5D6E-409C-BE32-E72D297353CC}">
              <c16:uniqueId val="{00000006-4A3C-8748-8CEE-D9D6C70F9EE9}"/>
            </c:ext>
          </c:extLst>
        </c:ser>
        <c:ser>
          <c:idx val="1"/>
          <c:order val="1"/>
          <c:tx>
            <c:strRef>
              <c:f>chart1!$C$6</c:f>
              <c:strCache>
                <c:ptCount val="1"/>
                <c:pt idx="0">
                  <c:v>غير سعودي</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chart1!$A$7:$A$17</c:f>
              <c:strCache>
                <c:ptCount val="11"/>
                <c:pt idx="0">
                  <c:v>25-29</c:v>
                </c:pt>
                <c:pt idx="1">
                  <c:v>30-34</c:v>
                </c:pt>
                <c:pt idx="2">
                  <c:v>35-39</c:v>
                </c:pt>
                <c:pt idx="3">
                  <c:v>20-24</c:v>
                </c:pt>
                <c:pt idx="4">
                  <c:v>40-44</c:v>
                </c:pt>
                <c:pt idx="5">
                  <c:v>45-49</c:v>
                </c:pt>
                <c:pt idx="6">
                  <c:v>50-54</c:v>
                </c:pt>
                <c:pt idx="7">
                  <c:v>55-59</c:v>
                </c:pt>
                <c:pt idx="8">
                  <c:v>اقل من 20</c:v>
                </c:pt>
                <c:pt idx="9">
                  <c:v>60-64</c:v>
                </c:pt>
                <c:pt idx="10">
                  <c:v>اكبر من 65</c:v>
                </c:pt>
              </c:strCache>
            </c:strRef>
          </c:cat>
          <c:val>
            <c:numRef>
              <c:f>chart1!$C$7:$C$17</c:f>
              <c:numCache>
                <c:formatCode>_(* #,##0_);_(* \(#,##0\);_(* "-"??_);_(@_)</c:formatCode>
                <c:ptCount val="11"/>
                <c:pt idx="0">
                  <c:v>1701890</c:v>
                </c:pt>
                <c:pt idx="1">
                  <c:v>1649363</c:v>
                </c:pt>
                <c:pt idx="2">
                  <c:v>1782467</c:v>
                </c:pt>
                <c:pt idx="3">
                  <c:v>635984</c:v>
                </c:pt>
                <c:pt idx="4">
                  <c:v>1482761</c:v>
                </c:pt>
                <c:pt idx="5">
                  <c:v>998816</c:v>
                </c:pt>
                <c:pt idx="6">
                  <c:v>581965</c:v>
                </c:pt>
                <c:pt idx="7">
                  <c:v>410740</c:v>
                </c:pt>
                <c:pt idx="8">
                  <c:v>1367</c:v>
                </c:pt>
                <c:pt idx="9">
                  <c:v>227400</c:v>
                </c:pt>
                <c:pt idx="10">
                  <c:v>174876</c:v>
                </c:pt>
              </c:numCache>
            </c:numRef>
          </c:val>
          <c:extLst>
            <c:ext xmlns:c16="http://schemas.microsoft.com/office/drawing/2014/chart" uri="{C3380CC4-5D6E-409C-BE32-E72D297353CC}">
              <c16:uniqueId val="{00000008-4A3C-8748-8CEE-D9D6C70F9EE9}"/>
            </c:ext>
          </c:extLst>
        </c:ser>
        <c:dLbls>
          <c:dLblPos val="ctr"/>
          <c:showLegendKey val="0"/>
          <c:showVal val="1"/>
          <c:showCatName val="0"/>
          <c:showSerName val="0"/>
          <c:showPercent val="0"/>
          <c:showBubbleSize val="0"/>
        </c:dLbls>
        <c:gapWidth val="50"/>
        <c:overlap val="100"/>
        <c:axId val="1481665920"/>
        <c:axId val="1481667632"/>
      </c:barChart>
      <c:catAx>
        <c:axId val="14816659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81667632"/>
        <c:crosses val="autoZero"/>
        <c:auto val="1"/>
        <c:lblAlgn val="ctr"/>
        <c:lblOffset val="100"/>
        <c:noMultiLvlLbl val="0"/>
      </c:catAx>
      <c:valAx>
        <c:axId val="1481667632"/>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816659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SA" sz="1400" b="0" i="0" u="none" strike="noStrike" kern="1200" cap="none" spc="0" normalizeH="0" baseline="0">
                <a:solidFill>
                  <a:schemeClr val="tx1">
                    <a:lumMod val="75000"/>
                    <a:lumOff val="25000"/>
                  </a:schemeClr>
                </a:solidFill>
              </a:rPr>
              <a:t> معدل التوطين بين المناطق</a:t>
            </a:r>
            <a:endParaRPr lang="en-US" sz="1400" b="0" i="0" u="none" strike="noStrike" kern="1200" cap="none" spc="0" normalizeH="0" baseline="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chart2!$C$7</c:f>
              <c:strCache>
                <c:ptCount val="1"/>
                <c:pt idx="0">
                  <c:v>Total</c:v>
                </c:pt>
              </c:strCache>
            </c:strRef>
          </c:tx>
          <c:spPr>
            <a:solidFill>
              <a:schemeClr val="accent1"/>
            </a:solidFill>
            <a:ln>
              <a:noFill/>
            </a:ln>
            <a:effectLst/>
          </c:spPr>
          <c:invertIfNegative val="0"/>
          <c:cat>
            <c:strRef>
              <c:f>chart2!$B$8:$B$20</c:f>
              <c:strCache>
                <c:ptCount val="13"/>
                <c:pt idx="0">
                  <c:v>حائل</c:v>
                </c:pt>
                <c:pt idx="1">
                  <c:v>نجران</c:v>
                </c:pt>
                <c:pt idx="2">
                  <c:v>جازان</c:v>
                </c:pt>
                <c:pt idx="3">
                  <c:v>الباحة</c:v>
                </c:pt>
                <c:pt idx="4">
                  <c:v>الحدود الشمالية</c:v>
                </c:pt>
                <c:pt idx="5">
                  <c:v>الجوف</c:v>
                </c:pt>
                <c:pt idx="6">
                  <c:v>القصيم</c:v>
                </c:pt>
                <c:pt idx="7">
                  <c:v>عسير</c:v>
                </c:pt>
                <c:pt idx="8">
                  <c:v>تبوك</c:v>
                </c:pt>
                <c:pt idx="9">
                  <c:v>المدينة</c:v>
                </c:pt>
                <c:pt idx="10">
                  <c:v>الرياض</c:v>
                </c:pt>
                <c:pt idx="11">
                  <c:v>مكة المكرمة</c:v>
                </c:pt>
                <c:pt idx="12">
                  <c:v>الشرقية</c:v>
                </c:pt>
              </c:strCache>
            </c:strRef>
          </c:cat>
          <c:val>
            <c:numRef>
              <c:f>chart2!$C$8:$C$20</c:f>
              <c:numCache>
                <c:formatCode>0.0%</c:formatCode>
                <c:ptCount val="13"/>
                <c:pt idx="0">
                  <c:v>0.17390142075593568</c:v>
                </c:pt>
                <c:pt idx="1">
                  <c:v>0.17613103859994622</c:v>
                </c:pt>
                <c:pt idx="2">
                  <c:v>0.18240137495373795</c:v>
                </c:pt>
                <c:pt idx="3">
                  <c:v>0.18966088433457468</c:v>
                </c:pt>
                <c:pt idx="4">
                  <c:v>0.18992495044192081</c:v>
                </c:pt>
                <c:pt idx="5">
                  <c:v>0.19774810124575135</c:v>
                </c:pt>
                <c:pt idx="6">
                  <c:v>0.20057732584320948</c:v>
                </c:pt>
                <c:pt idx="7">
                  <c:v>0.21305544173044461</c:v>
                </c:pt>
                <c:pt idx="8">
                  <c:v>0.22346756612791194</c:v>
                </c:pt>
                <c:pt idx="9">
                  <c:v>0.2395553014931118</c:v>
                </c:pt>
                <c:pt idx="10">
                  <c:v>0.24278274616410858</c:v>
                </c:pt>
                <c:pt idx="11">
                  <c:v>0.27345909240595589</c:v>
                </c:pt>
                <c:pt idx="12">
                  <c:v>0.29156117072077692</c:v>
                </c:pt>
              </c:numCache>
            </c:numRef>
          </c:val>
          <c:extLst>
            <c:ext xmlns:c16="http://schemas.microsoft.com/office/drawing/2014/chart" uri="{C3380CC4-5D6E-409C-BE32-E72D297353CC}">
              <c16:uniqueId val="{00000000-45CA-0A4D-BF40-290FCAE22D69}"/>
            </c:ext>
          </c:extLst>
        </c:ser>
        <c:dLbls>
          <c:showLegendKey val="0"/>
          <c:showVal val="0"/>
          <c:showCatName val="0"/>
          <c:showSerName val="0"/>
          <c:showPercent val="0"/>
          <c:showBubbleSize val="0"/>
        </c:dLbls>
        <c:gapWidth val="219"/>
        <c:overlap val="-27"/>
        <c:axId val="1498890976"/>
        <c:axId val="1498692816"/>
      </c:barChart>
      <c:catAx>
        <c:axId val="149889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98692816"/>
        <c:crosses val="autoZero"/>
        <c:auto val="1"/>
        <c:lblAlgn val="ctr"/>
        <c:lblOffset val="100"/>
        <c:noMultiLvlLbl val="0"/>
      </c:catAx>
      <c:valAx>
        <c:axId val="1498692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SA"/>
          </a:p>
        </c:txPr>
        <c:crossAx val="149889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[اداء التوطين لعام ٢٠٢٤ للقطاع الخاص .xlsx]chart3!PivotTable6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A"/>
        </a:p>
      </c:txPr>
    </c:title>
    <c:autoTitleDeleted val="0"/>
    <c:pivotFmts>
      <c:pivotFmt>
        <c:idx val="0"/>
        <c:spPr>
          <a:ln w="28575" cap="rnd">
            <a:solidFill>
              <a:schemeClr val="accent1"/>
            </a:solidFill>
            <a:round/>
          </a:ln>
          <a:effectLst>
            <a:outerShdw blurRad="50800" dist="50800" dir="5400000" sx="1000" sy="1000" algn="ctr" rotWithShape="0">
              <a:srgbClr val="000000">
                <a:alpha val="43137"/>
              </a:srgbClr>
            </a:outerShdw>
          </a:effectLst>
        </c:spPr>
        <c:marker>
          <c:symbol val="circle"/>
          <c:size val="5"/>
          <c:spPr>
            <a:solidFill>
              <a:schemeClr val="accent1"/>
            </a:solidFill>
            <a:ln w="9525">
              <a:solidFill>
                <a:schemeClr val="accent1"/>
              </a:solidFill>
            </a:ln>
            <a:effectLst>
              <a:outerShdw blurRad="50800" dist="50800" dir="5400000" sx="1000" sy="1000" algn="ctr" rotWithShape="0">
                <a:srgbClr val="000000">
                  <a:alpha val="43137"/>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outerShdw blurRad="50800" dist="50800" dir="5400000" sx="1000" sy="1000" algn="ctr" rotWithShape="0">
              <a:srgbClr val="000000">
                <a:alpha val="43137"/>
              </a:srgbClr>
            </a:outerShdw>
          </a:effectLst>
        </c:spPr>
        <c:marker>
          <c:symbol val="circle"/>
          <c:size val="5"/>
          <c:spPr>
            <a:solidFill>
              <a:schemeClr val="accent1"/>
            </a:solidFill>
            <a:ln w="9525">
              <a:solidFill>
                <a:schemeClr val="accent1"/>
              </a:solidFill>
            </a:ln>
            <a:effectLst>
              <a:outerShdw blurRad="50800" dist="50800" dir="5400000" sx="1000" sy="1000" algn="ctr" rotWithShape="0">
                <a:srgbClr val="000000">
                  <a:alpha val="43137"/>
                </a:srgbClr>
              </a:outerShdw>
            </a:effectLst>
          </c:spPr>
        </c:marker>
        <c:dLbl>
          <c:idx val="0"/>
          <c:layout>
            <c:manualLayout>
              <c:x val="-2.6153652851107666E-2"/>
              <c:y val="6.10784293293716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outerShdw blurRad="50800" dist="50800" dir="5400000" sx="1000" sy="1000" algn="ctr" rotWithShape="0">
              <a:srgbClr val="000000">
                <a:alpha val="43137"/>
              </a:srgbClr>
            </a:outerShdw>
          </a:effectLst>
        </c:spPr>
        <c:marker>
          <c:symbol val="circle"/>
          <c:size val="5"/>
          <c:spPr>
            <a:solidFill>
              <a:schemeClr val="accent1"/>
            </a:solidFill>
            <a:ln w="9525">
              <a:solidFill>
                <a:schemeClr val="accent1"/>
              </a:solidFill>
            </a:ln>
            <a:effectLst>
              <a:outerShdw blurRad="50800" dist="50800" dir="5400000" sx="1000" sy="1000" algn="ctr" rotWithShape="0">
                <a:srgbClr val="000000">
                  <a:alpha val="43137"/>
                </a:srgbClr>
              </a:outerShdw>
            </a:effectLst>
          </c:spPr>
        </c:marker>
        <c:dLbl>
          <c:idx val="0"/>
          <c:layout>
            <c:manualLayout>
              <c:x val="-2.821756188356871E-2"/>
              <c:y val="-0.10462759456506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outerShdw blurRad="50800" dist="50800" dir="5400000" sx="1000" sy="1000" algn="ctr" rotWithShape="0">
              <a:srgbClr val="000000">
                <a:alpha val="43137"/>
              </a:srgbClr>
            </a:outerShdw>
          </a:effectLst>
        </c:spPr>
        <c:marker>
          <c:symbol val="circle"/>
          <c:size val="5"/>
          <c:spPr>
            <a:solidFill>
              <a:schemeClr val="accent1"/>
            </a:solidFill>
            <a:ln w="9525">
              <a:solidFill>
                <a:schemeClr val="accent1"/>
              </a:solidFill>
            </a:ln>
            <a:effectLst>
              <a:outerShdw blurRad="50800" dist="50800" dir="5400000" sx="1000" sy="1000" algn="ctr" rotWithShape="0">
                <a:srgbClr val="000000">
                  <a:alpha val="43137"/>
                </a:srgbClr>
              </a:outerShdw>
            </a:effectLst>
          </c:spPr>
        </c:marker>
        <c:dLbl>
          <c:idx val="0"/>
          <c:layout>
            <c:manualLayout>
              <c:x val="-1.2271635824842598E-2"/>
              <c:y val="-7.06943206520710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chart3!$B$1</c:f>
              <c:strCache>
                <c:ptCount val="1"/>
                <c:pt idx="0">
                  <c:v>Total</c:v>
                </c:pt>
              </c:strCache>
            </c:strRef>
          </c:tx>
          <c:spPr>
            <a:ln w="28575" cap="rnd">
              <a:solidFill>
                <a:schemeClr val="accent1"/>
              </a:solidFill>
              <a:round/>
            </a:ln>
            <a:effectLst>
              <a:outerShdw blurRad="50800" dist="50800" dir="5400000" sx="1000" sy="1000" algn="ctr" rotWithShape="0">
                <a:srgbClr val="000000">
                  <a:alpha val="43137"/>
                </a:srgbClr>
              </a:outerShdw>
            </a:effectLst>
          </c:spPr>
          <c:marker>
            <c:symbol val="circle"/>
            <c:size val="5"/>
            <c:spPr>
              <a:solidFill>
                <a:schemeClr val="accent1"/>
              </a:solidFill>
              <a:ln w="9525">
                <a:solidFill>
                  <a:schemeClr val="accent1"/>
                </a:solidFill>
              </a:ln>
              <a:effectLst>
                <a:outerShdw blurRad="50800" dist="50800" dir="5400000" sx="1000" sy="1000" algn="ctr" rotWithShape="0">
                  <a:srgbClr val="000000">
                    <a:alpha val="43137"/>
                  </a:srgbClr>
                </a:outerShdw>
              </a:effectLst>
            </c:spPr>
          </c:marker>
          <c:dLbls>
            <c:dLbl>
              <c:idx val="3"/>
              <c:layout>
                <c:manualLayout>
                  <c:x val="-2.6153652851107666E-2"/>
                  <c:y val="6.10784293293716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7A-704E-AB3A-323BD6F43883}"/>
                </c:ext>
              </c:extLst>
            </c:dLbl>
            <c:dLbl>
              <c:idx val="5"/>
              <c:layout>
                <c:manualLayout>
                  <c:x val="-2.821756188356871E-2"/>
                  <c:y val="-0.104627594565065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7A-704E-AB3A-323BD6F43883}"/>
                </c:ext>
              </c:extLst>
            </c:dLbl>
            <c:dLbl>
              <c:idx val="6"/>
              <c:layout>
                <c:manualLayout>
                  <c:x val="-1.2271635824842598E-2"/>
                  <c:y val="-7.06943206520710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7A-704E-AB3A-323BD6F438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A"/>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chart3!$A$2:$A$12</c:f>
              <c:strCache>
                <c:ptCount val="11"/>
                <c:pt idx="0">
                  <c:v>20-24</c:v>
                </c:pt>
                <c:pt idx="1">
                  <c:v>25-29</c:v>
                </c:pt>
                <c:pt idx="2">
                  <c:v>30-34</c:v>
                </c:pt>
                <c:pt idx="3">
                  <c:v>35-39</c:v>
                </c:pt>
                <c:pt idx="4">
                  <c:v>40-44</c:v>
                </c:pt>
                <c:pt idx="5">
                  <c:v>45-49</c:v>
                </c:pt>
                <c:pt idx="6">
                  <c:v>50-54</c:v>
                </c:pt>
                <c:pt idx="7">
                  <c:v>55-59</c:v>
                </c:pt>
                <c:pt idx="8">
                  <c:v>60-64</c:v>
                </c:pt>
                <c:pt idx="9">
                  <c:v>اقل من 20</c:v>
                </c:pt>
                <c:pt idx="10">
                  <c:v>اكبر من 65</c:v>
                </c:pt>
              </c:strCache>
            </c:strRef>
          </c:cat>
          <c:val>
            <c:numRef>
              <c:f>chart3!$B$2:$B$12</c:f>
              <c:numCache>
                <c:formatCode>0.0%</c:formatCode>
                <c:ptCount val="11"/>
                <c:pt idx="0">
                  <c:v>0.33319384467162177</c:v>
                </c:pt>
                <c:pt idx="1">
                  <c:v>0.45008920134033581</c:v>
                </c:pt>
                <c:pt idx="2">
                  <c:v>0.47019415758398164</c:v>
                </c:pt>
                <c:pt idx="3">
                  <c:v>0.48923959118194676</c:v>
                </c:pt>
                <c:pt idx="4">
                  <c:v>0.50876633958614204</c:v>
                </c:pt>
                <c:pt idx="5">
                  <c:v>0.47458967622064352</c:v>
                </c:pt>
                <c:pt idx="6">
                  <c:v>0.47079803190789771</c:v>
                </c:pt>
                <c:pt idx="7">
                  <c:v>0.4285382281751659</c:v>
                </c:pt>
                <c:pt idx="8">
                  <c:v>0.41033964471666767</c:v>
                </c:pt>
                <c:pt idx="9">
                  <c:v>0.30046492771191047</c:v>
                </c:pt>
                <c:pt idx="10">
                  <c:v>0.3695029883121696</c:v>
                </c:pt>
              </c:numCache>
            </c:numRef>
          </c:val>
          <c:smooth val="0"/>
          <c:extLst>
            <c:ext xmlns:c16="http://schemas.microsoft.com/office/drawing/2014/chart" uri="{C3380CC4-5D6E-409C-BE32-E72D297353CC}">
              <c16:uniqueId val="{00000000-C97A-704E-AB3A-323BD6F43883}"/>
            </c:ext>
          </c:extLst>
        </c:ser>
        <c:dLbls>
          <c:dLblPos val="ctr"/>
          <c:showLegendKey val="0"/>
          <c:showVal val="1"/>
          <c:showCatName val="0"/>
          <c:showSerName val="0"/>
          <c:showPercent val="0"/>
          <c:showBubbleSize val="0"/>
        </c:dLbls>
        <c:marker val="1"/>
        <c:smooth val="0"/>
        <c:axId val="1197206080"/>
        <c:axId val="1404329584"/>
      </c:lineChart>
      <c:catAx>
        <c:axId val="119720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404329584"/>
        <c:crosses val="autoZero"/>
        <c:auto val="1"/>
        <c:lblAlgn val="ctr"/>
        <c:lblOffset val="100"/>
        <c:noMultiLvlLbl val="0"/>
      </c:catAx>
      <c:valAx>
        <c:axId val="14043295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en-SA"/>
          </a:p>
        </c:txPr>
        <c:crossAx val="119720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8</xdr:col>
      <xdr:colOff>1168400</xdr:colOff>
      <xdr:row>18</xdr:row>
      <xdr:rowOff>46567</xdr:rowOff>
    </xdr:from>
    <xdr:to>
      <xdr:col>9</xdr:col>
      <xdr:colOff>1422400</xdr:colOff>
      <xdr:row>31</xdr:row>
      <xdr:rowOff>24339</xdr:rowOff>
    </xdr:to>
    <mc:AlternateContent xmlns:mc="http://schemas.openxmlformats.org/markup-compatibility/2006">
      <mc:Choice xmlns:a14="http://schemas.microsoft.com/office/drawing/2010/main" Requires="a14">
        <xdr:graphicFrame macro="">
          <xdr:nvGraphicFramePr>
            <xdr:cNvPr id="3" name="المنطقة">
              <a:extLst>
                <a:ext uri="{FF2B5EF4-FFF2-40B4-BE49-F238E27FC236}">
                  <a16:creationId xmlns:a16="http://schemas.microsoft.com/office/drawing/2014/main" id="{94294125-C37B-13F2-A48D-4E58056BBFAE}"/>
                </a:ext>
              </a:extLst>
            </xdr:cNvPr>
            <xdr:cNvGraphicFramePr/>
          </xdr:nvGraphicFramePr>
          <xdr:xfrm>
            <a:off x="0" y="0"/>
            <a:ext cx="0" cy="0"/>
          </xdr:xfrm>
          <a:graphic>
            <a:graphicData uri="http://schemas.microsoft.com/office/drawing/2010/slicer">
              <sle:slicer xmlns:sle="http://schemas.microsoft.com/office/drawing/2010/slicer" name="المنطقة"/>
            </a:graphicData>
          </a:graphic>
        </xdr:graphicFrame>
      </mc:Choice>
      <mc:Fallback>
        <xdr:sp macro="" textlink="">
          <xdr:nvSpPr>
            <xdr:cNvPr id="0" name=""/>
            <xdr:cNvSpPr>
              <a:spLocks noTextEdit="1"/>
            </xdr:cNvSpPr>
          </xdr:nvSpPr>
          <xdr:spPr>
            <a:xfrm>
              <a:off x="13343467" y="370416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110066</xdr:colOff>
      <xdr:row>18</xdr:row>
      <xdr:rowOff>55033</xdr:rowOff>
    </xdr:from>
    <xdr:to>
      <xdr:col>11</xdr:col>
      <xdr:colOff>194733</xdr:colOff>
      <xdr:row>31</xdr:row>
      <xdr:rowOff>32805</xdr:rowOff>
    </xdr:to>
    <mc:AlternateContent xmlns:mc="http://schemas.openxmlformats.org/markup-compatibility/2006">
      <mc:Choice xmlns:a14="http://schemas.microsoft.com/office/drawing/2010/main" Requires="a14">
        <xdr:graphicFrame macro="">
          <xdr:nvGraphicFramePr>
            <xdr:cNvPr id="4" name="الفئة العمرية">
              <a:extLst>
                <a:ext uri="{FF2B5EF4-FFF2-40B4-BE49-F238E27FC236}">
                  <a16:creationId xmlns:a16="http://schemas.microsoft.com/office/drawing/2014/main" id="{91CD0F07-7CC5-AC96-B91C-A883C670D827}"/>
                </a:ext>
              </a:extLst>
            </xdr:cNvPr>
            <xdr:cNvGraphicFramePr/>
          </xdr:nvGraphicFramePr>
          <xdr:xfrm>
            <a:off x="0" y="0"/>
            <a:ext cx="0" cy="0"/>
          </xdr:xfrm>
          <a:graphic>
            <a:graphicData uri="http://schemas.microsoft.com/office/drawing/2010/slicer">
              <sle:slicer xmlns:sle="http://schemas.microsoft.com/office/drawing/2010/slicer" name="الفئة العمرية"/>
            </a:graphicData>
          </a:graphic>
        </xdr:graphicFrame>
      </mc:Choice>
      <mc:Fallback>
        <xdr:sp macro="" textlink="">
          <xdr:nvSpPr>
            <xdr:cNvPr id="0" name=""/>
            <xdr:cNvSpPr>
              <a:spLocks noTextEdit="1"/>
            </xdr:cNvSpPr>
          </xdr:nvSpPr>
          <xdr:spPr>
            <a:xfrm>
              <a:off x="15891933" y="3712633"/>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84666</xdr:colOff>
      <xdr:row>10</xdr:row>
      <xdr:rowOff>97367</xdr:rowOff>
    </xdr:from>
    <xdr:to>
      <xdr:col>24</xdr:col>
      <xdr:colOff>762000</xdr:colOff>
      <xdr:row>21</xdr:row>
      <xdr:rowOff>169333</xdr:rowOff>
    </xdr:to>
    <mc:AlternateContent xmlns:mc="http://schemas.openxmlformats.org/markup-compatibility/2006">
      <mc:Choice xmlns:a14="http://schemas.microsoft.com/office/drawing/2010/main" Requires="a14">
        <xdr:graphicFrame macro="">
          <xdr:nvGraphicFramePr>
            <xdr:cNvPr id="2" name="المنطقة 1">
              <a:extLst>
                <a:ext uri="{FF2B5EF4-FFF2-40B4-BE49-F238E27FC236}">
                  <a16:creationId xmlns:a16="http://schemas.microsoft.com/office/drawing/2014/main" id="{BEB82C59-D3B4-3947-8C81-563A9651ABF6}"/>
                </a:ext>
              </a:extLst>
            </xdr:cNvPr>
            <xdr:cNvGraphicFramePr/>
          </xdr:nvGraphicFramePr>
          <xdr:xfrm>
            <a:off x="0" y="0"/>
            <a:ext cx="0" cy="0"/>
          </xdr:xfrm>
          <a:graphic>
            <a:graphicData uri="http://schemas.microsoft.com/office/drawing/2010/slicer">
              <sle:slicer xmlns:sle="http://schemas.microsoft.com/office/drawing/2010/slicer" name="المنطقة 1"/>
            </a:graphicData>
          </a:graphic>
        </xdr:graphicFrame>
      </mc:Choice>
      <mc:Fallback>
        <xdr:sp macro="" textlink="">
          <xdr:nvSpPr>
            <xdr:cNvPr id="0" name=""/>
            <xdr:cNvSpPr>
              <a:spLocks noTextEdit="1"/>
            </xdr:cNvSpPr>
          </xdr:nvSpPr>
          <xdr:spPr>
            <a:xfrm>
              <a:off x="17420166" y="2214034"/>
              <a:ext cx="3153834" cy="2400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105833</xdr:colOff>
      <xdr:row>23</xdr:row>
      <xdr:rowOff>63500</xdr:rowOff>
    </xdr:from>
    <xdr:to>
      <xdr:col>24</xdr:col>
      <xdr:colOff>740834</xdr:colOff>
      <xdr:row>40</xdr:row>
      <xdr:rowOff>39076</xdr:rowOff>
    </xdr:to>
    <mc:AlternateContent xmlns:mc="http://schemas.openxmlformats.org/markup-compatibility/2006">
      <mc:Choice xmlns:a14="http://schemas.microsoft.com/office/drawing/2010/main" Requires="a14">
        <xdr:graphicFrame macro="">
          <xdr:nvGraphicFramePr>
            <xdr:cNvPr id="3" name="الفئة العمرية 1">
              <a:extLst>
                <a:ext uri="{FF2B5EF4-FFF2-40B4-BE49-F238E27FC236}">
                  <a16:creationId xmlns:a16="http://schemas.microsoft.com/office/drawing/2014/main" id="{4D4B6957-3DC9-2544-BFE3-28A9ADA6EC35}"/>
                </a:ext>
              </a:extLst>
            </xdr:cNvPr>
            <xdr:cNvGraphicFramePr/>
          </xdr:nvGraphicFramePr>
          <xdr:xfrm>
            <a:off x="0" y="0"/>
            <a:ext cx="0" cy="0"/>
          </xdr:xfrm>
          <a:graphic>
            <a:graphicData uri="http://schemas.microsoft.com/office/drawing/2010/slicer">
              <sle:slicer xmlns:sle="http://schemas.microsoft.com/office/drawing/2010/slicer" name="الفئة العمرية 1"/>
            </a:graphicData>
          </a:graphic>
        </xdr:graphicFrame>
      </mc:Choice>
      <mc:Fallback>
        <xdr:sp macro="" textlink="">
          <xdr:nvSpPr>
            <xdr:cNvPr id="0" name=""/>
            <xdr:cNvSpPr>
              <a:spLocks noTextEdit="1"/>
            </xdr:cNvSpPr>
          </xdr:nvSpPr>
          <xdr:spPr>
            <a:xfrm>
              <a:off x="17441333" y="4931833"/>
              <a:ext cx="3111501" cy="3573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257516</xdr:colOff>
      <xdr:row>2</xdr:row>
      <xdr:rowOff>182379</xdr:rowOff>
    </xdr:from>
    <xdr:to>
      <xdr:col>13</xdr:col>
      <xdr:colOff>9685</xdr:colOff>
      <xdr:row>9</xdr:row>
      <xdr:rowOff>162492</xdr:rowOff>
    </xdr:to>
    <xdr:grpSp>
      <xdr:nvGrpSpPr>
        <xdr:cNvPr id="16" name="Group 15">
          <a:extLst>
            <a:ext uri="{FF2B5EF4-FFF2-40B4-BE49-F238E27FC236}">
              <a16:creationId xmlns:a16="http://schemas.microsoft.com/office/drawing/2014/main" id="{CAA186AA-EA4B-C61B-FB5D-CA7F84945FE5}"/>
            </a:ext>
          </a:extLst>
        </xdr:cNvPr>
        <xdr:cNvGrpSpPr/>
      </xdr:nvGrpSpPr>
      <xdr:grpSpPr>
        <a:xfrm>
          <a:off x="1083016" y="605712"/>
          <a:ext cx="9658169" cy="1461780"/>
          <a:chOff x="774574" y="755712"/>
          <a:chExt cx="9745481" cy="1366122"/>
        </a:xfrm>
      </xdr:grpSpPr>
      <xdr:grpSp>
        <xdr:nvGrpSpPr>
          <xdr:cNvPr id="15" name="Group 14">
            <a:extLst>
              <a:ext uri="{FF2B5EF4-FFF2-40B4-BE49-F238E27FC236}">
                <a16:creationId xmlns:a16="http://schemas.microsoft.com/office/drawing/2014/main" id="{064CAD9F-F89D-EFBF-F257-608BBB21D742}"/>
              </a:ext>
            </a:extLst>
          </xdr:cNvPr>
          <xdr:cNvGrpSpPr/>
        </xdr:nvGrpSpPr>
        <xdr:grpSpPr>
          <a:xfrm>
            <a:off x="7600673" y="755712"/>
            <a:ext cx="2919382" cy="1366122"/>
            <a:chOff x="7600673" y="755712"/>
            <a:chExt cx="2919382" cy="1366122"/>
          </a:xfrm>
        </xdr:grpSpPr>
        <xdr:sp macro="" textlink="">
          <xdr:nvSpPr>
            <xdr:cNvPr id="4" name="Rounded Rectangle 3">
              <a:extLst>
                <a:ext uri="{FF2B5EF4-FFF2-40B4-BE49-F238E27FC236}">
                  <a16:creationId xmlns:a16="http://schemas.microsoft.com/office/drawing/2014/main" id="{8B293B19-58C6-C909-DBB6-0A3F8F1DD6B4}"/>
                </a:ext>
              </a:extLst>
            </xdr:cNvPr>
            <xdr:cNvSpPr/>
          </xdr:nvSpPr>
          <xdr:spPr>
            <a:xfrm>
              <a:off x="7600673" y="755712"/>
              <a:ext cx="2919382" cy="1366122"/>
            </a:xfrm>
            <a:prstGeom prst="roundRect">
              <a:avLst>
                <a:gd name="adj" fmla="val 5867"/>
              </a:avLst>
            </a:prstGeom>
            <a:solidFill>
              <a:schemeClr val="bg1"/>
            </a:solidFill>
            <a:ln>
              <a:noFill/>
            </a:ln>
            <a:effectLst>
              <a:outerShdw blurRad="50800" dist="38100" dir="2700000" algn="tl" rotWithShape="0">
                <a:schemeClr val="tx1">
                  <a:lumMod val="50000"/>
                  <a:lumOff val="50000"/>
                  <a:alpha val="5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800" b="1">
                  <a:solidFill>
                    <a:schemeClr val="tx1">
                      <a:lumMod val="75000"/>
                      <a:lumOff val="25000"/>
                    </a:schemeClr>
                  </a:solidFill>
                  <a:latin typeface="Segoe UI" panose="020B0502040204020203" pitchFamily="34" charset="0"/>
                  <a:cs typeface="Segoe UI" panose="020B0502040204020203" pitchFamily="34" charset="0"/>
                </a:rPr>
                <a:t>معدل التوطين الوطني</a:t>
              </a:r>
              <a:endParaRPr lang="en-US" sz="18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Analysis!I7">
          <xdr:nvSpPr>
            <xdr:cNvPr id="10" name="TextBox 9">
              <a:extLst>
                <a:ext uri="{FF2B5EF4-FFF2-40B4-BE49-F238E27FC236}">
                  <a16:creationId xmlns:a16="http://schemas.microsoft.com/office/drawing/2014/main" id="{82992D11-A009-2B0E-642D-7FD7FFACAB0E}"/>
                </a:ext>
              </a:extLst>
            </xdr:cNvPr>
            <xdr:cNvSpPr txBox="1"/>
          </xdr:nvSpPr>
          <xdr:spPr>
            <a:xfrm>
              <a:off x="8440774" y="1306796"/>
              <a:ext cx="1239181" cy="524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DAA6175-8766-8E4A-ADB2-22C9EE364B4C}" type="TxLink">
                <a:rPr lang="en-US" sz="2800" b="0" i="0" u="none" strike="noStrike"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rPr>
                <a:pPr algn="ctr"/>
                <a:t>21.5%</a:t>
              </a:fld>
              <a:endParaRPr lang="en-US" sz="2800" b="0"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endParaRPr>
            </a:p>
          </xdr:txBody>
        </xdr:sp>
      </xdr:grpSp>
      <xdr:grpSp>
        <xdr:nvGrpSpPr>
          <xdr:cNvPr id="14" name="Group 13">
            <a:extLst>
              <a:ext uri="{FF2B5EF4-FFF2-40B4-BE49-F238E27FC236}">
                <a16:creationId xmlns:a16="http://schemas.microsoft.com/office/drawing/2014/main" id="{49267844-702D-75B0-41D1-423EF3BD9489}"/>
              </a:ext>
            </a:extLst>
          </xdr:cNvPr>
          <xdr:cNvGrpSpPr/>
        </xdr:nvGrpSpPr>
        <xdr:grpSpPr>
          <a:xfrm>
            <a:off x="4195359" y="759641"/>
            <a:ext cx="2919382" cy="1358264"/>
            <a:chOff x="4195359" y="759641"/>
            <a:chExt cx="2919382" cy="1358264"/>
          </a:xfrm>
        </xdr:grpSpPr>
        <xdr:sp macro="" textlink="">
          <xdr:nvSpPr>
            <xdr:cNvPr id="5" name="Rounded Rectangle 4">
              <a:extLst>
                <a:ext uri="{FF2B5EF4-FFF2-40B4-BE49-F238E27FC236}">
                  <a16:creationId xmlns:a16="http://schemas.microsoft.com/office/drawing/2014/main" id="{38877E0C-F6DD-D94B-8DF8-C69C1D5E9F6F}"/>
                </a:ext>
              </a:extLst>
            </xdr:cNvPr>
            <xdr:cNvSpPr/>
          </xdr:nvSpPr>
          <xdr:spPr>
            <a:xfrm>
              <a:off x="4195359" y="759641"/>
              <a:ext cx="2919382" cy="1358264"/>
            </a:xfrm>
            <a:prstGeom prst="roundRect">
              <a:avLst>
                <a:gd name="adj" fmla="val 5867"/>
              </a:avLst>
            </a:prstGeom>
            <a:solidFill>
              <a:schemeClr val="bg1"/>
            </a:solidFill>
            <a:ln>
              <a:noFill/>
            </a:ln>
            <a:effectLst>
              <a:outerShdw blurRad="50800" dist="38100" dir="2700000" algn="tl" rotWithShape="0">
                <a:schemeClr val="tx1">
                  <a:lumMod val="50000"/>
                  <a:lumOff val="50000"/>
                  <a:alpha val="5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800" b="1">
                  <a:solidFill>
                    <a:schemeClr val="tx1">
                      <a:lumMod val="75000"/>
                      <a:lumOff val="25000"/>
                    </a:schemeClr>
                  </a:solidFill>
                  <a:latin typeface="Segoe UI" panose="020B0502040204020203" pitchFamily="34" charset="0"/>
                  <a:cs typeface="Segoe UI" panose="020B0502040204020203" pitchFamily="34" charset="0"/>
                </a:rPr>
                <a:t>نسبة تأنيث</a:t>
              </a:r>
              <a:r>
                <a:rPr lang="ar-SA" sz="1800" b="1" baseline="0">
                  <a:solidFill>
                    <a:schemeClr val="tx1">
                      <a:lumMod val="75000"/>
                      <a:lumOff val="25000"/>
                    </a:schemeClr>
                  </a:solidFill>
                  <a:latin typeface="Segoe UI" panose="020B0502040204020203" pitchFamily="34" charset="0"/>
                  <a:cs typeface="Segoe UI" panose="020B0502040204020203" pitchFamily="34" charset="0"/>
                </a:rPr>
                <a:t> السعوديين</a:t>
              </a:r>
              <a:endParaRPr lang="en-US" sz="18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Analysis!J7">
          <xdr:nvSpPr>
            <xdr:cNvPr id="11" name="TextBox 10">
              <a:extLst>
                <a:ext uri="{FF2B5EF4-FFF2-40B4-BE49-F238E27FC236}">
                  <a16:creationId xmlns:a16="http://schemas.microsoft.com/office/drawing/2014/main" id="{EA82EE73-33AC-F944-99B4-5FC392C3DEDA}"/>
                </a:ext>
              </a:extLst>
            </xdr:cNvPr>
            <xdr:cNvSpPr txBox="1"/>
          </xdr:nvSpPr>
          <xdr:spPr>
            <a:xfrm>
              <a:off x="5031012" y="1306796"/>
              <a:ext cx="1248077" cy="524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F0A396F-1CB2-DA4B-86F1-7221DA0E936A}" type="TxLink">
                <a:rPr lang="en-US" sz="2800" b="0" i="0" u="none" strike="noStrike"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rPr>
                <a:t>42.8%</a:t>
              </a:fld>
              <a:endParaRPr lang="en-US" sz="2800" b="0"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endParaRPr>
            </a:p>
          </xdr:txBody>
        </xdr:sp>
      </xdr:grpSp>
      <xdr:grpSp>
        <xdr:nvGrpSpPr>
          <xdr:cNvPr id="13" name="Group 12">
            <a:extLst>
              <a:ext uri="{FF2B5EF4-FFF2-40B4-BE49-F238E27FC236}">
                <a16:creationId xmlns:a16="http://schemas.microsoft.com/office/drawing/2014/main" id="{27207605-FA15-C851-0B31-7B9DCCE6865A}"/>
              </a:ext>
            </a:extLst>
          </xdr:cNvPr>
          <xdr:cNvGrpSpPr/>
        </xdr:nvGrpSpPr>
        <xdr:grpSpPr>
          <a:xfrm>
            <a:off x="774574" y="755712"/>
            <a:ext cx="2934854" cy="1366122"/>
            <a:chOff x="774574" y="755712"/>
            <a:chExt cx="2934854" cy="1366122"/>
          </a:xfrm>
        </xdr:grpSpPr>
        <xdr:sp macro="" textlink="">
          <xdr:nvSpPr>
            <xdr:cNvPr id="6" name="Rounded Rectangle 5">
              <a:extLst>
                <a:ext uri="{FF2B5EF4-FFF2-40B4-BE49-F238E27FC236}">
                  <a16:creationId xmlns:a16="http://schemas.microsoft.com/office/drawing/2014/main" id="{B29167BB-45E6-7B4D-82A9-74EB59712CA8}"/>
                </a:ext>
              </a:extLst>
            </xdr:cNvPr>
            <xdr:cNvSpPr/>
          </xdr:nvSpPr>
          <xdr:spPr>
            <a:xfrm>
              <a:off x="774574" y="755712"/>
              <a:ext cx="2934854" cy="1366122"/>
            </a:xfrm>
            <a:prstGeom prst="roundRect">
              <a:avLst>
                <a:gd name="adj" fmla="val 5867"/>
              </a:avLst>
            </a:prstGeom>
            <a:solidFill>
              <a:schemeClr val="bg1"/>
            </a:solidFill>
            <a:ln>
              <a:noFill/>
            </a:ln>
            <a:effectLst>
              <a:outerShdw blurRad="50800" dist="38100" dir="2700000" algn="tl" rotWithShape="0">
                <a:schemeClr val="tx1">
                  <a:lumMod val="50000"/>
                  <a:lumOff val="50000"/>
                  <a:alpha val="52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SA" sz="1800" b="1">
                  <a:solidFill>
                    <a:schemeClr val="tx1">
                      <a:lumMod val="75000"/>
                      <a:lumOff val="25000"/>
                    </a:schemeClr>
                  </a:solidFill>
                  <a:latin typeface="Segoe UI" panose="020B0502040204020203" pitchFamily="34" charset="0"/>
                  <a:cs typeface="Segoe UI" panose="020B0502040204020203" pitchFamily="34" charset="0"/>
                </a:rPr>
                <a:t>الاعتماد على الوافدين</a:t>
              </a:r>
              <a:endParaRPr lang="en-US" sz="1800" b="1">
                <a:solidFill>
                  <a:schemeClr val="tx1">
                    <a:lumMod val="75000"/>
                    <a:lumOff val="25000"/>
                  </a:schemeClr>
                </a:solidFill>
                <a:latin typeface="Segoe UI" panose="020B0502040204020203" pitchFamily="34" charset="0"/>
                <a:cs typeface="Segoe UI" panose="020B0502040204020203" pitchFamily="34" charset="0"/>
              </a:endParaRPr>
            </a:p>
          </xdr:txBody>
        </xdr:sp>
        <xdr:sp macro="" textlink="Analysis!K7">
          <xdr:nvSpPr>
            <xdr:cNvPr id="12" name="TextBox 11">
              <a:extLst>
                <a:ext uri="{FF2B5EF4-FFF2-40B4-BE49-F238E27FC236}">
                  <a16:creationId xmlns:a16="http://schemas.microsoft.com/office/drawing/2014/main" id="{E4AAF5EE-D4BF-A94C-A392-899090B68199}"/>
                </a:ext>
              </a:extLst>
            </xdr:cNvPr>
            <xdr:cNvSpPr txBox="1"/>
          </xdr:nvSpPr>
          <xdr:spPr>
            <a:xfrm>
              <a:off x="1611977" y="1306796"/>
              <a:ext cx="1260048" cy="5241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D829E48-B4C8-8441-ABE5-0A8B43595A21}" type="TxLink">
                <a:rPr lang="en-US" sz="2800" b="0" i="0" u="none" strike="noStrike"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rPr>
                <a:t>78.5%</a:t>
              </a:fld>
              <a:endParaRPr lang="en-US" sz="2800" b="0" cap="none" spc="0">
                <a:ln>
                  <a:noFill/>
                </a:ln>
                <a:solidFill>
                  <a:schemeClr val="tx1"/>
                </a:solidFill>
                <a:effectLst/>
                <a:latin typeface="Tahoma" panose="020B0604030504040204" pitchFamily="34" charset="0"/>
                <a:ea typeface="Tahoma" panose="020B0604030504040204" pitchFamily="34" charset="0"/>
                <a:cs typeface="Tahoma" panose="020B0604030504040204" pitchFamily="34" charset="0"/>
              </a:endParaRPr>
            </a:p>
          </xdr:txBody>
        </xdr:sp>
      </xdr:grpSp>
    </xdr:grpSp>
    <xdr:clientData/>
  </xdr:twoCellAnchor>
  <xdr:twoCellAnchor>
    <xdr:from>
      <xdr:col>10</xdr:col>
      <xdr:colOff>541867</xdr:colOff>
      <xdr:row>10</xdr:row>
      <xdr:rowOff>168938</xdr:rowOff>
    </xdr:from>
    <xdr:to>
      <xdr:col>20</xdr:col>
      <xdr:colOff>551362</xdr:colOff>
      <xdr:row>39</xdr:row>
      <xdr:rowOff>132362</xdr:rowOff>
    </xdr:to>
    <xdr:graphicFrame macro="">
      <xdr:nvGraphicFramePr>
        <xdr:cNvPr id="18" name="Chart 17">
          <a:extLst>
            <a:ext uri="{FF2B5EF4-FFF2-40B4-BE49-F238E27FC236}">
              <a16:creationId xmlns:a16="http://schemas.microsoft.com/office/drawing/2014/main" id="{3353EFEB-3727-A248-A3FB-090DCCDA1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245527</xdr:colOff>
      <xdr:row>40</xdr:row>
      <xdr:rowOff>97441</xdr:rowOff>
    </xdr:from>
    <xdr:to>
      <xdr:col>20</xdr:col>
      <xdr:colOff>559404</xdr:colOff>
      <xdr:row>62</xdr:row>
      <xdr:rowOff>2064</xdr:rowOff>
    </xdr:to>
    <xdr:graphicFrame macro="">
      <xdr:nvGraphicFramePr>
        <xdr:cNvPr id="19" name="Chart 18">
          <a:extLst>
            <a:ext uri="{FF2B5EF4-FFF2-40B4-BE49-F238E27FC236}">
              <a16:creationId xmlns:a16="http://schemas.microsoft.com/office/drawing/2014/main" id="{34F2915F-F278-6148-8FA6-DAB78650B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241906</xdr:colOff>
      <xdr:row>10</xdr:row>
      <xdr:rowOff>169333</xdr:rowOff>
    </xdr:from>
    <xdr:to>
      <xdr:col>10</xdr:col>
      <xdr:colOff>371009</xdr:colOff>
      <xdr:row>39</xdr:row>
      <xdr:rowOff>130048</xdr:rowOff>
    </xdr:to>
    <xdr:graphicFrame macro="">
      <xdr:nvGraphicFramePr>
        <xdr:cNvPr id="20" name="Chart 19">
          <a:extLst>
            <a:ext uri="{FF2B5EF4-FFF2-40B4-BE49-F238E27FC236}">
              <a16:creationId xmlns:a16="http://schemas.microsoft.com/office/drawing/2014/main" id="{3B73D052-0566-A94C-B7FA-6D77BE5C7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584200</xdr:colOff>
      <xdr:row>4</xdr:row>
      <xdr:rowOff>12700</xdr:rowOff>
    </xdr:from>
    <xdr:to>
      <xdr:col>13</xdr:col>
      <xdr:colOff>660400</xdr:colOff>
      <xdr:row>26</xdr:row>
      <xdr:rowOff>158750</xdr:rowOff>
    </xdr:to>
    <xdr:graphicFrame macro="">
      <xdr:nvGraphicFramePr>
        <xdr:cNvPr id="4" name="Chart 3">
          <a:extLst>
            <a:ext uri="{FF2B5EF4-FFF2-40B4-BE49-F238E27FC236}">
              <a16:creationId xmlns:a16="http://schemas.microsoft.com/office/drawing/2014/main" id="{0BEB3E2C-4099-4C32-EB56-928F7C49D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596900</xdr:colOff>
      <xdr:row>7</xdr:row>
      <xdr:rowOff>107950</xdr:rowOff>
    </xdr:from>
    <xdr:to>
      <xdr:col>8</xdr:col>
      <xdr:colOff>330200</xdr:colOff>
      <xdr:row>28</xdr:row>
      <xdr:rowOff>190500</xdr:rowOff>
    </xdr:to>
    <xdr:graphicFrame macro="">
      <xdr:nvGraphicFramePr>
        <xdr:cNvPr id="3" name="Chart 2">
          <a:extLst>
            <a:ext uri="{FF2B5EF4-FFF2-40B4-BE49-F238E27FC236}">
              <a16:creationId xmlns:a16="http://schemas.microsoft.com/office/drawing/2014/main" id="{081C9813-0320-AD4B-4B18-795A228AE5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713483</xdr:colOff>
      <xdr:row>11</xdr:row>
      <xdr:rowOff>99888</xdr:rowOff>
    </xdr:from>
    <xdr:to>
      <xdr:col>8</xdr:col>
      <xdr:colOff>371012</xdr:colOff>
      <xdr:row>33</xdr:row>
      <xdr:rowOff>71349</xdr:rowOff>
    </xdr:to>
    <xdr:graphicFrame macro="">
      <xdr:nvGraphicFramePr>
        <xdr:cNvPr id="2" name="Chart 1">
          <a:extLst>
            <a:ext uri="{FF2B5EF4-FFF2-40B4-BE49-F238E27FC236}">
              <a16:creationId xmlns:a16="http://schemas.microsoft.com/office/drawing/2014/main" id="{A4132E74-87C5-BB4F-1970-577E62878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H" refreshedDate="45982.089806944445" createdVersion="8" refreshedVersion="8" minRefreshableVersion="3" recordCount="143" xr:uid="{ACD48159-63FA-524E-9CDA-C6C0D5594A54}">
  <cacheSource type="worksheet">
    <worksheetSource name="data"/>
  </cacheSource>
  <cacheFields count="19">
    <cacheField name="المنطقة" numFmtId="0">
      <sharedItems count="13">
        <s v="الباحة"/>
        <s v="الجوف"/>
        <s v="الحدود الشمالية"/>
        <s v="الرياض"/>
        <s v="الشرقية"/>
        <s v="القصيم"/>
        <s v="المدينة"/>
        <s v="تبوك"/>
        <s v="جازان"/>
        <s v="حائل"/>
        <s v="عسير"/>
        <s v="مكة المكرمة"/>
        <s v="نجران"/>
      </sharedItems>
    </cacheField>
    <cacheField name="الفئة العمرية" numFmtId="0">
      <sharedItems count="11">
        <s v="اقل من 20"/>
        <s v="اكبر من 65"/>
        <s v="20-24"/>
        <s v="25-29"/>
        <s v="30-34"/>
        <s v="35-39"/>
        <s v="40-44"/>
        <s v="45-49"/>
        <s v="50-54"/>
        <s v="55-59"/>
        <s v="60-64"/>
      </sharedItems>
    </cacheField>
    <cacheField name="أنثى - سعودي" numFmtId="0">
      <sharedItems containsSemiMixedTypes="0" containsString="0" containsNumber="1" containsInteger="1" minValue="16" maxValue="114034"/>
    </cacheField>
    <cacheField name="ذكر - سعودي" numFmtId="0">
      <sharedItems containsSemiMixedTypes="0" containsString="0" containsNumber="1" containsInteger="1" minValue="33" maxValue="141968"/>
    </cacheField>
    <cacheField name="سعودى الإجمالي" numFmtId="0">
      <sharedItems containsSemiMixedTypes="0" containsString="0" containsNumber="1" containsInteger="1" minValue="49" maxValue="256002"/>
    </cacheField>
    <cacheField name="انثى - غير سعودي" numFmtId="0">
      <sharedItems containsSemiMixedTypes="0" containsString="0" containsNumber="1" containsInteger="1" minValue="0" maxValue="55658"/>
    </cacheField>
    <cacheField name="ذكر - غير سعودي" numFmtId="0">
      <sharedItems containsSemiMixedTypes="0" containsString="0" containsNumber="1" containsInteger="1" minValue="4" maxValue="832871"/>
    </cacheField>
    <cacheField name="غير سعودى الإجمالي" numFmtId="0">
      <sharedItems containsSemiMixedTypes="0" containsString="0" containsNumber="1" containsInteger="1" minValue="5" maxValue="888529"/>
    </cacheField>
    <cacheField name="الإجمالي الكلي" numFmtId="0">
      <sharedItems containsSemiMixedTypes="0" containsString="0" containsNumber="1" containsInteger="1" minValue="222" maxValue="1144531"/>
    </cacheField>
    <cacheField name="معدل التوطين" numFmtId="9">
      <sharedItems containsSemiMixedTypes="0" containsString="0" containsNumber="1" minValue="2.8880866425992781E-2" maxValue="0.99118329466357313"/>
    </cacheField>
    <cacheField name="نسبة تأنيث السعوديين" numFmtId="9">
      <sharedItems containsSemiMixedTypes="0" containsString="0" containsNumber="1" minValue="0.21052631578947367" maxValue="0.61038961038961037"/>
    </cacheField>
    <cacheField name="نسبة الذكور السعوديين" numFmtId="9">
      <sharedItems containsSemiMixedTypes="0" containsString="0" containsNumber="1" minValue="0.38961038961038963" maxValue="0.78947368421052633"/>
    </cacheField>
    <cacheField name="اعتماد على الوافد" numFmtId="9">
      <sharedItems containsSemiMixedTypes="0" containsString="0" containsNumber="1" minValue="8.8167053364269134E-3" maxValue="0.97111913357400725"/>
    </cacheField>
    <cacheField name="نسبة الذكور الوافدين" numFmtId="9">
      <sharedItems containsSemiMixedTypes="0" containsString="0" containsNumber="1" minValue="0.69230769230769229" maxValue="1"/>
    </cacheField>
    <cacheField name="السعودييون" numFmtId="0" formula="'سعودى الإجمالي' /'الإجمالي الكلي'" databaseField="0"/>
    <cacheField name="غير السعودييون" numFmtId="0" formula="'الإجمالي الكلي' /'غير سعودى الإجمالي'" databaseField="0"/>
    <cacheField name="غير السعودي " numFmtId="0" formula="'غير سعودى الإجمالي' /'الإجمالي الكلي'" databaseField="0"/>
    <cacheField name="Field1" numFmtId="0" formula="'سعودى الإجمالي' /'الإجمالي الكلي'" databaseField="0"/>
    <cacheField name="Field2" numFmtId="0" formula="'الإجمالي الكلي' /'سعودى الإجمالي'" databaseField="0"/>
  </cacheFields>
  <extLst>
    <ext xmlns:x14="http://schemas.microsoft.com/office/spreadsheetml/2009/9/main" uri="{725AE2AE-9491-48be-B2B4-4EB974FC3084}">
      <x14:pivotCacheDefinition pivotCacheId="225272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
  <r>
    <x v="0"/>
    <x v="0"/>
    <n v="66"/>
    <n v="128"/>
    <n v="194"/>
    <n v="0"/>
    <n v="61"/>
    <n v="61"/>
    <n v="255"/>
    <n v="0.76078431372549016"/>
    <n v="0.34020618556701032"/>
    <n v="0.65979381443298968"/>
    <n v="0.23921568627450981"/>
    <n v="1"/>
  </r>
  <r>
    <x v="0"/>
    <x v="1"/>
    <n v="16"/>
    <n v="60"/>
    <n v="76"/>
    <n v="25"/>
    <n v="883"/>
    <n v="908"/>
    <n v="984"/>
    <n v="7.7235772357723581E-2"/>
    <n v="0.21052631578947367"/>
    <n v="0.78947368421052633"/>
    <n v="0.92276422764227639"/>
    <n v="0.97246696035242286"/>
  </r>
  <r>
    <x v="0"/>
    <x v="2"/>
    <n v="405"/>
    <n v="930"/>
    <n v="1335"/>
    <n v="35"/>
    <n v="2063"/>
    <n v="2098"/>
    <n v="3433"/>
    <n v="0.3888727060879697"/>
    <n v="0.30337078651685395"/>
    <n v="0.6966292134831461"/>
    <n v="0.61112729391203024"/>
    <n v="0.98331744518589137"/>
  </r>
  <r>
    <x v="0"/>
    <x v="3"/>
    <n v="631"/>
    <n v="768"/>
    <n v="1399"/>
    <n v="125"/>
    <n v="5608"/>
    <n v="5733"/>
    <n v="7132"/>
    <n v="0.19615816040381379"/>
    <n v="0.45103645461043601"/>
    <n v="0.54896354538956393"/>
    <n v="0.80384183959618616"/>
    <n v="0.97819640676783537"/>
  </r>
  <r>
    <x v="0"/>
    <x v="4"/>
    <n v="555"/>
    <n v="551"/>
    <n v="1106"/>
    <n v="140"/>
    <n v="6177"/>
    <n v="6317"/>
    <n v="7423"/>
    <n v="0.14899636265660784"/>
    <n v="0.50180831826401451"/>
    <n v="0.49819168173598555"/>
    <n v="0.85100363734339213"/>
    <n v="0.97783758113028341"/>
  </r>
  <r>
    <x v="0"/>
    <x v="5"/>
    <n v="375"/>
    <n v="340"/>
    <n v="715"/>
    <n v="153"/>
    <n v="7004"/>
    <n v="7157"/>
    <n v="7872"/>
    <n v="9.0828252032520332E-2"/>
    <n v="0.52447552447552448"/>
    <n v="0.47552447552447552"/>
    <n v="0.90917174796747968"/>
    <n v="0.97862232779097391"/>
  </r>
  <r>
    <x v="0"/>
    <x v="6"/>
    <n v="329"/>
    <n v="210"/>
    <n v="539"/>
    <n v="117"/>
    <n v="6179"/>
    <n v="6296"/>
    <n v="6835"/>
    <n v="7.8858814923189469E-2"/>
    <n v="0.61038961038961037"/>
    <n v="0.38961038961038963"/>
    <n v="0.92114118507681053"/>
    <n v="0.9814167725540025"/>
  </r>
  <r>
    <x v="0"/>
    <x v="7"/>
    <n v="186"/>
    <n v="157"/>
    <n v="343"/>
    <n v="96"/>
    <n v="4764"/>
    <n v="4860"/>
    <n v="5203"/>
    <n v="6.5923505669805885E-2"/>
    <n v="0.54227405247813409"/>
    <n v="0.45772594752186591"/>
    <n v="0.93407649433019413"/>
    <n v="0.98024691358024696"/>
  </r>
  <r>
    <x v="0"/>
    <x v="8"/>
    <n v="137"/>
    <n v="122"/>
    <n v="259"/>
    <n v="53"/>
    <n v="3156"/>
    <n v="3209"/>
    <n v="3468"/>
    <n v="7.4682814302191466E-2"/>
    <n v="0.52895752895752901"/>
    <n v="0.47104247104247104"/>
    <n v="0.92531718569780852"/>
    <n v="0.98348395138672484"/>
  </r>
  <r>
    <x v="0"/>
    <x v="9"/>
    <n v="120"/>
    <n v="189"/>
    <n v="309"/>
    <n v="38"/>
    <n v="2351"/>
    <n v="2389"/>
    <n v="2698"/>
    <n v="0.11452928094885099"/>
    <n v="0.38834951456310679"/>
    <n v="0.61165048543689315"/>
    <n v="0.88547071905114905"/>
    <n v="0.98409376308078689"/>
  </r>
  <r>
    <x v="0"/>
    <x v="10"/>
    <n v="43"/>
    <n v="97"/>
    <n v="140"/>
    <n v="27"/>
    <n v="1399"/>
    <n v="1426"/>
    <n v="1566"/>
    <n v="8.9399744572158366E-2"/>
    <n v="0.30714285714285716"/>
    <n v="0.69285714285714284"/>
    <n v="0.91060025542784162"/>
    <n v="0.9810659186535764"/>
  </r>
  <r>
    <x v="1"/>
    <x v="0"/>
    <n v="82"/>
    <n v="267"/>
    <n v="349"/>
    <n v="0"/>
    <n v="7"/>
    <n v="7"/>
    <n v="356"/>
    <n v="0.9803370786516854"/>
    <n v="0.23495702005730659"/>
    <n v="0.76504297994269344"/>
    <n v="1.9662921348314606E-2"/>
    <n v="1"/>
  </r>
  <r>
    <x v="1"/>
    <x v="1"/>
    <n v="22"/>
    <n v="45"/>
    <n v="67"/>
    <n v="28"/>
    <n v="1500"/>
    <n v="1528"/>
    <n v="1595"/>
    <n v="4.200626959247649E-2"/>
    <n v="0.32835820895522388"/>
    <n v="0.67164179104477617"/>
    <n v="0.95799373040752356"/>
    <n v="0.98167539267015702"/>
  </r>
  <r>
    <x v="1"/>
    <x v="2"/>
    <n v="672"/>
    <n v="1529"/>
    <n v="2201"/>
    <n v="168"/>
    <n v="2877"/>
    <n v="3045"/>
    <n v="5246"/>
    <n v="0.41955775829203201"/>
    <n v="0.30531576556110857"/>
    <n v="0.69468423443889138"/>
    <n v="0.58044224170796799"/>
    <n v="0.94482758620689655"/>
  </r>
  <r>
    <x v="1"/>
    <x v="3"/>
    <n v="1248"/>
    <n v="1399"/>
    <n v="2647"/>
    <n v="342"/>
    <n v="9659"/>
    <n v="10001"/>
    <n v="12648"/>
    <n v="0.2092820999367489"/>
    <n v="0.47147714393653195"/>
    <n v="0.52852285606346805"/>
    <n v="0.79071790006325116"/>
    <n v="0.96580341965803418"/>
  </r>
  <r>
    <x v="1"/>
    <x v="4"/>
    <n v="1013"/>
    <n v="968"/>
    <n v="1981"/>
    <n v="348"/>
    <n v="9887"/>
    <n v="10235"/>
    <n v="12216"/>
    <n v="0.16216437459070071"/>
    <n v="0.51135790005047954"/>
    <n v="0.48864209994952046"/>
    <n v="0.83783562540929923"/>
    <n v="0.96599902296042994"/>
  </r>
  <r>
    <x v="1"/>
    <x v="5"/>
    <n v="607"/>
    <n v="520"/>
    <n v="1127"/>
    <n v="382"/>
    <n v="12621"/>
    <n v="13003"/>
    <n v="14130"/>
    <n v="7.9759377211606516E-2"/>
    <n v="0.53859804791481813"/>
    <n v="0.46140195208518192"/>
    <n v="0.92024062278839347"/>
    <n v="0.97062216411597324"/>
  </r>
  <r>
    <x v="1"/>
    <x v="6"/>
    <n v="450"/>
    <n v="330"/>
    <n v="780"/>
    <n v="263"/>
    <n v="11060"/>
    <n v="11323"/>
    <n v="12103"/>
    <n v="6.4446831364124602E-2"/>
    <n v="0.57692307692307687"/>
    <n v="0.42307692307692307"/>
    <n v="0.93555316863587545"/>
    <n v="0.97677294003355997"/>
  </r>
  <r>
    <x v="1"/>
    <x v="7"/>
    <n v="231"/>
    <n v="196"/>
    <n v="427"/>
    <n v="164"/>
    <n v="8405"/>
    <n v="8569"/>
    <n v="8996"/>
    <n v="4.7465540240106713E-2"/>
    <n v="0.54098360655737709"/>
    <n v="0.45901639344262296"/>
    <n v="0.95253445975989326"/>
    <n v="0.98086124401913877"/>
  </r>
  <r>
    <x v="1"/>
    <x v="8"/>
    <n v="120"/>
    <n v="144"/>
    <n v="264"/>
    <n v="88"/>
    <n v="5160"/>
    <n v="5248"/>
    <n v="5512"/>
    <n v="4.7895500725689405E-2"/>
    <n v="0.45454545454545453"/>
    <n v="0.54545454545454541"/>
    <n v="0.95210449927431062"/>
    <n v="0.98323170731707321"/>
  </r>
  <r>
    <x v="1"/>
    <x v="9"/>
    <n v="104"/>
    <n v="172"/>
    <n v="276"/>
    <n v="46"/>
    <n v="3753"/>
    <n v="3799"/>
    <n v="4075"/>
    <n v="6.7730061349693255E-2"/>
    <n v="0.37681159420289856"/>
    <n v="0.62318840579710144"/>
    <n v="0.93226993865030672"/>
    <n v="0.98789155040800214"/>
  </r>
  <r>
    <x v="1"/>
    <x v="10"/>
    <n v="54"/>
    <n v="74"/>
    <n v="128"/>
    <n v="23"/>
    <n v="2194"/>
    <n v="2217"/>
    <n v="2345"/>
    <n v="5.458422174840085E-2"/>
    <n v="0.421875"/>
    <n v="0.578125"/>
    <n v="0.94541577825159917"/>
    <n v="0.98962562020748757"/>
  </r>
  <r>
    <x v="2"/>
    <x v="0"/>
    <n v="65"/>
    <n v="152"/>
    <n v="217"/>
    <n v="1"/>
    <n v="4"/>
    <n v="5"/>
    <n v="222"/>
    <n v="0.97747747747747749"/>
    <n v="0.29953917050691242"/>
    <n v="0.70046082949308752"/>
    <n v="2.2522522522522521E-2"/>
    <n v="0.8"/>
  </r>
  <r>
    <x v="2"/>
    <x v="1"/>
    <n v="16"/>
    <n v="33"/>
    <n v="49"/>
    <n v="18"/>
    <n v="936"/>
    <n v="954"/>
    <n v="1003"/>
    <n v="4.8853439680957129E-2"/>
    <n v="0.32653061224489793"/>
    <n v="0.67346938775510201"/>
    <n v="0.95114656031904288"/>
    <n v="0.98113207547169812"/>
  </r>
  <r>
    <x v="2"/>
    <x v="2"/>
    <n v="450"/>
    <n v="799"/>
    <n v="1249"/>
    <n v="184"/>
    <n v="2958"/>
    <n v="3142"/>
    <n v="4391"/>
    <n v="0.28444545661580506"/>
    <n v="0.36028823058446757"/>
    <n v="0.63971176941553243"/>
    <n v="0.715554543384195"/>
    <n v="0.94143857415658816"/>
  </r>
  <r>
    <x v="2"/>
    <x v="3"/>
    <n v="711"/>
    <n v="828"/>
    <n v="1539"/>
    <n v="348"/>
    <n v="7682"/>
    <n v="8030"/>
    <n v="9569"/>
    <n v="0.16083185285818791"/>
    <n v="0.46198830409356723"/>
    <n v="0.53801169590643272"/>
    <n v="0.83916814714181209"/>
    <n v="0.95666251556662518"/>
  </r>
  <r>
    <x v="2"/>
    <x v="4"/>
    <n v="623"/>
    <n v="967"/>
    <n v="1590"/>
    <n v="341"/>
    <n v="7855"/>
    <n v="8196"/>
    <n v="9786"/>
    <n v="0.16247700797057021"/>
    <n v="0.39182389937106921"/>
    <n v="0.60817610062893079"/>
    <n v="0.83752299202942981"/>
    <n v="0.95839433870180579"/>
  </r>
  <r>
    <x v="2"/>
    <x v="5"/>
    <n v="373"/>
    <n v="434"/>
    <n v="807"/>
    <n v="362"/>
    <n v="8690"/>
    <n v="9052"/>
    <n v="9859"/>
    <n v="8.1854143422253778E-2"/>
    <n v="0.46220570012391576"/>
    <n v="0.53779429987608429"/>
    <n v="0.91814585657774617"/>
    <n v="0.96000883782589486"/>
  </r>
  <r>
    <x v="2"/>
    <x v="6"/>
    <n v="329"/>
    <n v="298"/>
    <n v="627"/>
    <n v="282"/>
    <n v="7331"/>
    <n v="7613"/>
    <n v="8240"/>
    <n v="7.6092233009708743E-2"/>
    <n v="0.52472089314194581"/>
    <n v="0.47527910685805425"/>
    <n v="0.92390776699029131"/>
    <n v="0.96295809799027976"/>
  </r>
  <r>
    <x v="2"/>
    <x v="7"/>
    <n v="165"/>
    <n v="199"/>
    <n v="364"/>
    <n v="216"/>
    <n v="5278"/>
    <n v="5494"/>
    <n v="5858"/>
    <n v="6.2137248207579376E-2"/>
    <n v="0.4532967032967033"/>
    <n v="0.54670329670329665"/>
    <n v="0.93786275179242062"/>
    <n v="0.96068438296323266"/>
  </r>
  <r>
    <x v="2"/>
    <x v="8"/>
    <n v="86"/>
    <n v="140"/>
    <n v="226"/>
    <n v="106"/>
    <n v="3078"/>
    <n v="3184"/>
    <n v="3410"/>
    <n v="6.6275659824046915E-2"/>
    <n v="0.38053097345132741"/>
    <n v="0.61946902654867253"/>
    <n v="0.93372434017595307"/>
    <n v="0.96670854271356788"/>
  </r>
  <r>
    <x v="2"/>
    <x v="9"/>
    <n v="84"/>
    <n v="134"/>
    <n v="218"/>
    <n v="49"/>
    <n v="2225"/>
    <n v="2274"/>
    <n v="2492"/>
    <n v="8.7479935794542538E-2"/>
    <n v="0.38532110091743121"/>
    <n v="0.61467889908256879"/>
    <n v="0.9125200642054575"/>
    <n v="0.97845206684256814"/>
  </r>
  <r>
    <x v="2"/>
    <x v="10"/>
    <n v="51"/>
    <n v="66"/>
    <n v="117"/>
    <n v="37"/>
    <n v="1286"/>
    <n v="1323"/>
    <n v="1440"/>
    <n v="8.1250000000000003E-2"/>
    <n v="0.4358974358974359"/>
    <n v="0.5641025641025641"/>
    <n v="0.91874999999999996"/>
    <n v="0.97203325774754346"/>
  </r>
  <r>
    <x v="3"/>
    <x v="0"/>
    <n v="6692"/>
    <n v="12663"/>
    <n v="19355"/>
    <n v="37"/>
    <n v="505"/>
    <n v="542"/>
    <n v="19897"/>
    <n v="0.97275971251947535"/>
    <n v="0.34575045207956601"/>
    <n v="0.65424954792043399"/>
    <n v="2.7240287480524702E-2"/>
    <n v="0.93173431734317347"/>
  </r>
  <r>
    <x v="3"/>
    <x v="1"/>
    <n v="2433"/>
    <n v="3712"/>
    <n v="6145"/>
    <n v="1940"/>
    <n v="65003"/>
    <n v="66943"/>
    <n v="73088"/>
    <n v="8.4076729422066551E-2"/>
    <n v="0.39593165174938977"/>
    <n v="0.60406834825061029"/>
    <n v="0.91592327057793343"/>
    <n v="0.97102012159598461"/>
  </r>
  <r>
    <x v="3"/>
    <x v="2"/>
    <n v="60363"/>
    <n v="98534"/>
    <n v="158897"/>
    <n v="16922"/>
    <n v="341494"/>
    <n v="358416"/>
    <n v="517313"/>
    <n v="0.30715833547581445"/>
    <n v="0.37988760014348916"/>
    <n v="0.62011239985651079"/>
    <n v="0.6928416645241855"/>
    <n v="0.9527867059506272"/>
  </r>
  <r>
    <x v="3"/>
    <x v="3"/>
    <n v="114034"/>
    <n v="141968"/>
    <n v="256002"/>
    <n v="55658"/>
    <n v="832871"/>
    <n v="888529"/>
    <n v="1144531"/>
    <n v="0.223674151246231"/>
    <n v="0.4454418324856837"/>
    <n v="0.5545581675143163"/>
    <n v="0.77632584875376898"/>
    <n v="0.93735938838237132"/>
  </r>
  <r>
    <x v="3"/>
    <x v="4"/>
    <n v="110902"/>
    <n v="124349"/>
    <n v="235251"/>
    <n v="54757"/>
    <n v="745371"/>
    <n v="800128"/>
    <n v="1035379"/>
    <n v="0.22721245070645629"/>
    <n v="0.47141988769442"/>
    <n v="0.52858011230558"/>
    <n v="0.77278754929354376"/>
    <n v="0.93156469964805633"/>
  </r>
  <r>
    <x v="3"/>
    <x v="5"/>
    <n v="76479"/>
    <n v="82166"/>
    <n v="158645"/>
    <n v="49590"/>
    <n v="789351"/>
    <n v="838941"/>
    <n v="997586"/>
    <n v="0.159028895754351"/>
    <n v="0.48207633395316585"/>
    <n v="0.51792366604683415"/>
    <n v="0.84097110424564903"/>
    <n v="0.94088976459608009"/>
  </r>
  <r>
    <x v="3"/>
    <x v="6"/>
    <n v="50715"/>
    <n v="56903"/>
    <n v="107618"/>
    <n v="33245"/>
    <n v="639677"/>
    <n v="672922"/>
    <n v="780540"/>
    <n v="0.13787634201962742"/>
    <n v="0.47125016261220243"/>
    <n v="0.52874983738779757"/>
    <n v="0.8621236579803726"/>
    <n v="0.95059605719533613"/>
  </r>
  <r>
    <x v="3"/>
    <x v="7"/>
    <n v="28988"/>
    <n v="36587"/>
    <n v="65575"/>
    <n v="16080"/>
    <n v="411561"/>
    <n v="427641"/>
    <n v="493216"/>
    <n v="0.13295391876986959"/>
    <n v="0.44205871139916125"/>
    <n v="0.55794128860083869"/>
    <n v="0.86704608123013038"/>
    <n v="0.96239836685444102"/>
  </r>
  <r>
    <x v="3"/>
    <x v="8"/>
    <n v="17539"/>
    <n v="21709"/>
    <n v="39248"/>
    <n v="7533"/>
    <n v="227075"/>
    <n v="234608"/>
    <n v="273856"/>
    <n v="0.14331619537275064"/>
    <n v="0.44687627395026497"/>
    <n v="0.55312372604973503"/>
    <n v="0.85668380462724936"/>
    <n v="0.96789112050739956"/>
  </r>
  <r>
    <x v="3"/>
    <x v="9"/>
    <n v="12336"/>
    <n v="16544"/>
    <n v="28880"/>
    <n v="4556"/>
    <n v="153965"/>
    <n v="158521"/>
    <n v="187401"/>
    <n v="0.15410803570952131"/>
    <n v="0.42714681440443214"/>
    <n v="0.57285318559556786"/>
    <n v="0.84589196429047875"/>
    <n v="0.9712593284170552"/>
  </r>
  <r>
    <x v="3"/>
    <x v="10"/>
    <n v="5397"/>
    <n v="7609"/>
    <n v="13006"/>
    <n v="2392"/>
    <n v="85859"/>
    <n v="88251"/>
    <n v="101257"/>
    <n v="0.12844544080903048"/>
    <n v="0.414962325080732"/>
    <n v="0.58503767491926806"/>
    <n v="0.87155455919096947"/>
    <n v="0.9728954912692207"/>
  </r>
  <r>
    <x v="4"/>
    <x v="0"/>
    <n v="2240"/>
    <n v="6304"/>
    <n v="8544"/>
    <n v="8"/>
    <n v="68"/>
    <n v="76"/>
    <n v="8620"/>
    <n v="0.99118329466357313"/>
    <n v="0.26217228464419473"/>
    <n v="0.73782771535580527"/>
    <n v="8.8167053364269134E-3"/>
    <n v="0.89473684210526316"/>
  </r>
  <r>
    <x v="4"/>
    <x v="1"/>
    <n v="780"/>
    <n v="1870"/>
    <n v="2650"/>
    <n v="481"/>
    <n v="21283"/>
    <n v="21764"/>
    <n v="24414"/>
    <n v="0.10854427787335136"/>
    <n v="0.29433962264150942"/>
    <n v="0.70566037735849052"/>
    <n v="0.8914557221266487"/>
    <n v="0.97789928321999631"/>
  </r>
  <r>
    <x v="4"/>
    <x v="2"/>
    <n v="21537"/>
    <n v="59311"/>
    <n v="80848"/>
    <n v="4473"/>
    <n v="88260"/>
    <n v="92733"/>
    <n v="173581"/>
    <n v="0.46576526232709803"/>
    <n v="0.26638877894320206"/>
    <n v="0.73361122105679799"/>
    <n v="0.53423473767290197"/>
    <n v="0.95176474394228594"/>
  </r>
  <r>
    <x v="4"/>
    <x v="3"/>
    <n v="39343"/>
    <n v="80085"/>
    <n v="119428"/>
    <n v="13776"/>
    <n v="259597"/>
    <n v="273373"/>
    <n v="392801"/>
    <n v="0.30404199581976626"/>
    <n v="0.32942860970626653"/>
    <n v="0.67057139029373347"/>
    <n v="0.69595800418023379"/>
    <n v="0.94960731308505231"/>
  </r>
  <r>
    <x v="4"/>
    <x v="4"/>
    <n v="38186"/>
    <n v="77745"/>
    <n v="115931"/>
    <n v="13548"/>
    <n v="282684"/>
    <n v="296232"/>
    <n v="412163"/>
    <n v="0.28127464134335201"/>
    <n v="0.32938558280356417"/>
    <n v="0.67061441719643577"/>
    <n v="0.71872535865664799"/>
    <n v="0.95426557562991166"/>
  </r>
  <r>
    <x v="4"/>
    <x v="5"/>
    <n v="28915"/>
    <n v="62355"/>
    <n v="91270"/>
    <n v="12811"/>
    <n v="320193"/>
    <n v="333004"/>
    <n v="424274"/>
    <n v="0.21512041746607147"/>
    <n v="0.31680727511778239"/>
    <n v="0.68319272488221761"/>
    <n v="0.78487958253392853"/>
    <n v="0.96152899064275499"/>
  </r>
  <r>
    <x v="4"/>
    <x v="6"/>
    <n v="22224"/>
    <n v="43040"/>
    <n v="65264"/>
    <n v="8818"/>
    <n v="281545"/>
    <n v="290363"/>
    <n v="355627"/>
    <n v="0.18351812432689307"/>
    <n v="0.34052463839176267"/>
    <n v="0.65947536160823728"/>
    <n v="0.81648187567310693"/>
    <n v="0.96963111691227877"/>
  </r>
  <r>
    <x v="4"/>
    <x v="7"/>
    <n v="13556"/>
    <n v="28604"/>
    <n v="42160"/>
    <n v="4570"/>
    <n v="191942"/>
    <n v="196512"/>
    <n v="238672"/>
    <n v="0.17664409733860695"/>
    <n v="0.3215370018975332"/>
    <n v="0.6784629981024668"/>
    <n v="0.82335590266139302"/>
    <n v="0.97674442273245399"/>
  </r>
  <r>
    <x v="4"/>
    <x v="8"/>
    <n v="7767"/>
    <n v="16239"/>
    <n v="24006"/>
    <n v="2549"/>
    <n v="116104"/>
    <n v="118653"/>
    <n v="142659"/>
    <n v="0.16827539797699409"/>
    <n v="0.32354411397150712"/>
    <n v="0.67645588602849283"/>
    <n v="0.83172460202300591"/>
    <n v="0.97851718877735916"/>
  </r>
  <r>
    <x v="4"/>
    <x v="9"/>
    <n v="4824"/>
    <n v="11317"/>
    <n v="16141"/>
    <n v="1674"/>
    <n v="78631"/>
    <n v="80305"/>
    <n v="96446"/>
    <n v="0.16735789975737719"/>
    <n v="0.29886624124899325"/>
    <n v="0.70113375875100681"/>
    <n v="0.83264210024262286"/>
    <n v="0.97915447356951624"/>
  </r>
  <r>
    <x v="4"/>
    <x v="10"/>
    <n v="2048"/>
    <n v="4305"/>
    <n v="6353"/>
    <n v="795"/>
    <n v="36531"/>
    <n v="37326"/>
    <n v="43679"/>
    <n v="0.14544746903546327"/>
    <n v="0.32236738548717142"/>
    <n v="0.67763261451282863"/>
    <n v="0.85455253096453676"/>
    <n v="0.9787011734447838"/>
  </r>
  <r>
    <x v="5"/>
    <x v="0"/>
    <n v="505"/>
    <n v="1523"/>
    <n v="2028"/>
    <n v="4"/>
    <n v="47"/>
    <n v="51"/>
    <n v="2079"/>
    <n v="0.97546897546897549"/>
    <n v="0.24901380670611439"/>
    <n v="0.75098619329388561"/>
    <n v="2.4531024531024532E-2"/>
    <n v="0.92156862745098034"/>
  </r>
  <r>
    <x v="5"/>
    <x v="1"/>
    <n v="200"/>
    <n v="329"/>
    <n v="529"/>
    <n v="83"/>
    <n v="4608"/>
    <n v="4691"/>
    <n v="5220"/>
    <n v="0.10134099616858237"/>
    <n v="0.3780718336483932"/>
    <n v="0.62192816635160686"/>
    <n v="0.89865900383141761"/>
    <n v="0.98230654444681309"/>
  </r>
  <r>
    <x v="5"/>
    <x v="2"/>
    <n v="3776"/>
    <n v="8919"/>
    <n v="12695"/>
    <n v="572"/>
    <n v="32237"/>
    <n v="32809"/>
    <n v="45504"/>
    <n v="0.27898646272855132"/>
    <n v="0.2974399369830642"/>
    <n v="0.70256006301693585"/>
    <n v="0.72101353727144868"/>
    <n v="0.9825657593952879"/>
  </r>
  <r>
    <x v="5"/>
    <x v="3"/>
    <n v="6183"/>
    <n v="8528"/>
    <n v="14711"/>
    <n v="1758"/>
    <n v="77476"/>
    <n v="79234"/>
    <n v="93945"/>
    <n v="0.15659162275799671"/>
    <n v="0.42029773638773704"/>
    <n v="0.57970226361226296"/>
    <n v="0.84340837724200335"/>
    <n v="0.97781255521619503"/>
  </r>
  <r>
    <x v="5"/>
    <x v="4"/>
    <n v="5797"/>
    <n v="6123"/>
    <n v="11920"/>
    <n v="2002"/>
    <n v="67046"/>
    <n v="69048"/>
    <n v="80968"/>
    <n v="0.1472186542831736"/>
    <n v="0.48632550335570468"/>
    <n v="0.51367449664429532"/>
    <n v="0.8527813457168264"/>
    <n v="0.97100567721005682"/>
  </r>
  <r>
    <x v="5"/>
    <x v="5"/>
    <n v="3949"/>
    <n v="3359"/>
    <n v="7308"/>
    <n v="1969"/>
    <n v="68972"/>
    <n v="70941"/>
    <n v="78249"/>
    <n v="9.3394164781658545E-2"/>
    <n v="0.54036672140120412"/>
    <n v="0.45963327859879582"/>
    <n v="0.90660583521834148"/>
    <n v="0.97224454123849391"/>
  </r>
  <r>
    <x v="5"/>
    <x v="6"/>
    <n v="2586"/>
    <n v="2101"/>
    <n v="4687"/>
    <n v="1290"/>
    <n v="56244"/>
    <n v="57534"/>
    <n v="62221"/>
    <n v="7.5328265376641321E-2"/>
    <n v="0.55173885214422869"/>
    <n v="0.44826114785577126"/>
    <n v="0.92467173462335872"/>
    <n v="0.97757847533632292"/>
  </r>
  <r>
    <x v="5"/>
    <x v="7"/>
    <n v="1614"/>
    <n v="1457"/>
    <n v="3071"/>
    <n v="814"/>
    <n v="36263"/>
    <n v="37077"/>
    <n v="40148"/>
    <n v="7.6491979675201757E-2"/>
    <n v="0.52556170628459786"/>
    <n v="0.47443829371540214"/>
    <n v="0.92350802032479828"/>
    <n v="0.97804568870189068"/>
  </r>
  <r>
    <x v="5"/>
    <x v="8"/>
    <n v="1126"/>
    <n v="890"/>
    <n v="2016"/>
    <n v="458"/>
    <n v="20592"/>
    <n v="21050"/>
    <n v="23066"/>
    <n v="8.7401369981791377E-2"/>
    <n v="0.55853174603174605"/>
    <n v="0.44146825396825395"/>
    <n v="0.91259863001820862"/>
    <n v="0.97824228028503568"/>
  </r>
  <r>
    <x v="5"/>
    <x v="9"/>
    <n v="895"/>
    <n v="820"/>
    <n v="1715"/>
    <n v="259"/>
    <n v="13902"/>
    <n v="14161"/>
    <n v="15876"/>
    <n v="0.10802469135802469"/>
    <n v="0.52186588921282795"/>
    <n v="0.478134110787172"/>
    <n v="0.89197530864197527"/>
    <n v="0.98171033119130002"/>
  </r>
  <r>
    <x v="5"/>
    <x v="10"/>
    <n v="402"/>
    <n v="462"/>
    <n v="864"/>
    <n v="170"/>
    <n v="7109"/>
    <n v="7279"/>
    <n v="8143"/>
    <n v="0.10610340169470711"/>
    <n v="0.46527777777777779"/>
    <n v="0.53472222222222221"/>
    <n v="0.89389659830529289"/>
    <n v="0.97664514356367638"/>
  </r>
  <r>
    <x v="6"/>
    <x v="0"/>
    <n v="468"/>
    <n v="981"/>
    <n v="1449"/>
    <n v="8"/>
    <n v="54"/>
    <n v="62"/>
    <n v="1511"/>
    <n v="0.95896757114493714"/>
    <n v="0.32298136645962733"/>
    <n v="0.67701863354037262"/>
    <n v="4.103242885506287E-2"/>
    <n v="0.87096774193548387"/>
  </r>
  <r>
    <x v="6"/>
    <x v="1"/>
    <n v="201"/>
    <n v="330"/>
    <n v="531"/>
    <n v="249"/>
    <n v="8275"/>
    <n v="8524"/>
    <n v="9055"/>
    <n v="5.8641634456101599E-2"/>
    <n v="0.37853107344632769"/>
    <n v="0.62146892655367236"/>
    <n v="0.9413583655438984"/>
    <n v="0.97078836227123422"/>
  </r>
  <r>
    <x v="6"/>
    <x v="2"/>
    <n v="4171"/>
    <n v="8372"/>
    <n v="12543"/>
    <n v="555"/>
    <n v="16741"/>
    <n v="17296"/>
    <n v="29839"/>
    <n v="0.42035591005060491"/>
    <n v="0.33253607589890777"/>
    <n v="0.66746392410109223"/>
    <n v="0.57964408994939509"/>
    <n v="0.96791165587419059"/>
  </r>
  <r>
    <x v="6"/>
    <x v="3"/>
    <n v="7602"/>
    <n v="9610"/>
    <n v="17212"/>
    <n v="1806"/>
    <n v="47706"/>
    <n v="49512"/>
    <n v="66724"/>
    <n v="0.25795815598585214"/>
    <n v="0.44166860330002322"/>
    <n v="0.55833139669997678"/>
    <n v="0.74204184401414786"/>
    <n v="0.96352399418322832"/>
  </r>
  <r>
    <x v="6"/>
    <x v="4"/>
    <n v="6526"/>
    <n v="8367"/>
    <n v="14893"/>
    <n v="2083"/>
    <n v="49209"/>
    <n v="51292"/>
    <n v="66185"/>
    <n v="0.22502077510009821"/>
    <n v="0.4381924394010609"/>
    <n v="0.5618075605989391"/>
    <n v="0.77497922489990179"/>
    <n v="0.9593893784605787"/>
  </r>
  <r>
    <x v="6"/>
    <x v="5"/>
    <n v="4640"/>
    <n v="6147"/>
    <n v="10787"/>
    <n v="1887"/>
    <n v="54761"/>
    <n v="56648"/>
    <n v="67435"/>
    <n v="0.1599614443538222"/>
    <n v="0.43014739964772414"/>
    <n v="0.56985260035227592"/>
    <n v="0.8400385556461778"/>
    <n v="0.96668902697359127"/>
  </r>
  <r>
    <x v="6"/>
    <x v="6"/>
    <n v="3164"/>
    <n v="4496"/>
    <n v="7660"/>
    <n v="1556"/>
    <n v="47009"/>
    <n v="48565"/>
    <n v="56225"/>
    <n v="0.13623832814584261"/>
    <n v="0.41305483028720624"/>
    <n v="0.58694516971279376"/>
    <n v="0.86376167185415742"/>
    <n v="0.9679604653557089"/>
  </r>
  <r>
    <x v="6"/>
    <x v="7"/>
    <n v="1861"/>
    <n v="2789"/>
    <n v="4650"/>
    <n v="999"/>
    <n v="34889"/>
    <n v="35888"/>
    <n v="40538"/>
    <n v="0.11470718831713454"/>
    <n v="0.40021505376344085"/>
    <n v="0.59978494623655909"/>
    <n v="0.88529281168286544"/>
    <n v="0.97216339723584488"/>
  </r>
  <r>
    <x v="6"/>
    <x v="8"/>
    <n v="1203"/>
    <n v="1621"/>
    <n v="2824"/>
    <n v="593"/>
    <n v="21291"/>
    <n v="21884"/>
    <n v="24708"/>
    <n v="0.11429496519345961"/>
    <n v="0.42599150141643061"/>
    <n v="0.57400849858356939"/>
    <n v="0.88570503480654039"/>
    <n v="0.9729025772253701"/>
  </r>
  <r>
    <x v="6"/>
    <x v="9"/>
    <n v="843"/>
    <n v="1063"/>
    <n v="1906"/>
    <n v="436"/>
    <n v="16217"/>
    <n v="16653"/>
    <n v="18559"/>
    <n v="0.10269949889541462"/>
    <n v="0.4422875131164743"/>
    <n v="0.5577124868835257"/>
    <n v="0.89730050110458537"/>
    <n v="0.97381853119558037"/>
  </r>
  <r>
    <x v="6"/>
    <x v="10"/>
    <n v="403"/>
    <n v="554"/>
    <n v="957"/>
    <n v="256"/>
    <n v="9881"/>
    <n v="10137"/>
    <n v="11094"/>
    <n v="8.6262844780962689E-2"/>
    <n v="0.42110762800417972"/>
    <n v="0.57889237199582022"/>
    <n v="0.91373715521903731"/>
    <n v="0.97474598007299995"/>
  </r>
  <r>
    <x v="7"/>
    <x v="0"/>
    <n v="151"/>
    <n v="371"/>
    <n v="522"/>
    <n v="0"/>
    <n v="25"/>
    <n v="25"/>
    <n v="547"/>
    <n v="0.95429616087751368"/>
    <n v="0.28927203065134099"/>
    <n v="0.71072796934865901"/>
    <n v="4.5703839122486288E-2"/>
    <n v="1"/>
  </r>
  <r>
    <x v="7"/>
    <x v="1"/>
    <n v="59"/>
    <n v="82"/>
    <n v="141"/>
    <n v="31"/>
    <n v="2620"/>
    <n v="2651"/>
    <n v="2792"/>
    <n v="5.050143266475645E-2"/>
    <n v="0.41843971631205673"/>
    <n v="0.58156028368794321"/>
    <n v="0.94949856733524352"/>
    <n v="0.98830629950961901"/>
  </r>
  <r>
    <x v="7"/>
    <x v="2"/>
    <n v="1534"/>
    <n v="2710"/>
    <n v="4244"/>
    <n v="150"/>
    <n v="7380"/>
    <n v="7530"/>
    <n v="11774"/>
    <n v="0.3604552403601155"/>
    <n v="0.36145146088595664"/>
    <n v="0.6385485391140433"/>
    <n v="0.63954475963988444"/>
    <n v="0.98007968127490042"/>
  </r>
  <r>
    <x v="7"/>
    <x v="3"/>
    <n v="2775"/>
    <n v="3084"/>
    <n v="5859"/>
    <n v="482"/>
    <n v="20057"/>
    <n v="20539"/>
    <n v="26398"/>
    <n v="0.22194863247215699"/>
    <n v="0.47363031233998976"/>
    <n v="0.52636968766001024"/>
    <n v="0.77805136752784299"/>
    <n v="0.97653245046010029"/>
  </r>
  <r>
    <x v="7"/>
    <x v="4"/>
    <n v="2450"/>
    <n v="2332"/>
    <n v="4782"/>
    <n v="555"/>
    <n v="19920"/>
    <n v="20475"/>
    <n v="25257"/>
    <n v="0.18933365007720632"/>
    <n v="0.5123379339188624"/>
    <n v="0.4876620660811376"/>
    <n v="0.81066634992279363"/>
    <n v="0.97289377289377288"/>
  </r>
  <r>
    <x v="7"/>
    <x v="5"/>
    <n v="1708"/>
    <n v="1911"/>
    <n v="3619"/>
    <n v="460"/>
    <n v="20910"/>
    <n v="21370"/>
    <n v="24989"/>
    <n v="0.14482372243787267"/>
    <n v="0.47195357833655704"/>
    <n v="0.52804642166344296"/>
    <n v="0.85517627756212733"/>
    <n v="0.97847449695835287"/>
  </r>
  <r>
    <x v="7"/>
    <x v="6"/>
    <n v="1181"/>
    <n v="1566"/>
    <n v="2747"/>
    <n v="342"/>
    <n v="17536"/>
    <n v="17878"/>
    <n v="20625"/>
    <n v="0.1331878787878788"/>
    <n v="0.42992355296687296"/>
    <n v="0.5700764470331271"/>
    <n v="0.86681212121212126"/>
    <n v="0.98087034343886337"/>
  </r>
  <r>
    <x v="7"/>
    <x v="7"/>
    <n v="613"/>
    <n v="1024"/>
    <n v="1637"/>
    <n v="199"/>
    <n v="12613"/>
    <n v="12812"/>
    <n v="14449"/>
    <n v="0.11329503771887328"/>
    <n v="0.37446548564447157"/>
    <n v="0.62553451435552843"/>
    <n v="0.88670496228112672"/>
    <n v="0.98446768654386507"/>
  </r>
  <r>
    <x v="7"/>
    <x v="8"/>
    <n v="355"/>
    <n v="498"/>
    <n v="853"/>
    <n v="125"/>
    <n v="7736"/>
    <n v="7861"/>
    <n v="8714"/>
    <n v="9.7888455359192106E-2"/>
    <n v="0.41617819460726846"/>
    <n v="0.58382180539273154"/>
    <n v="0.90211154464080789"/>
    <n v="0.98409871517618619"/>
  </r>
  <r>
    <x v="7"/>
    <x v="9"/>
    <n v="272"/>
    <n v="459"/>
    <n v="731"/>
    <n v="93"/>
    <n v="6060"/>
    <n v="6153"/>
    <n v="6884"/>
    <n v="0.10618826263800116"/>
    <n v="0.37209302325581395"/>
    <n v="0.62790697674418605"/>
    <n v="0.89381173736199881"/>
    <n v="0.98488542174548999"/>
  </r>
  <r>
    <x v="7"/>
    <x v="10"/>
    <n v="113"/>
    <n v="220"/>
    <n v="333"/>
    <n v="46"/>
    <n v="3483"/>
    <n v="3529"/>
    <n v="3862"/>
    <n v="8.6224754013464522E-2"/>
    <n v="0.33933933933933935"/>
    <n v="0.66066066066066065"/>
    <n v="0.91377524598653548"/>
    <n v="0.98696514593369222"/>
  </r>
  <r>
    <x v="8"/>
    <x v="0"/>
    <n v="206"/>
    <n v="423"/>
    <n v="629"/>
    <n v="7"/>
    <n v="88"/>
    <n v="95"/>
    <n v="724"/>
    <n v="0.86878453038674031"/>
    <n v="0.32750397456279812"/>
    <n v="0.67249602543720188"/>
    <n v="0.13121546961325967"/>
    <n v="0.9263157894736842"/>
  </r>
  <r>
    <x v="8"/>
    <x v="1"/>
    <n v="54"/>
    <n v="66"/>
    <n v="120"/>
    <n v="55"/>
    <n v="3742"/>
    <n v="3797"/>
    <n v="3917"/>
    <n v="3.0635690579525147E-2"/>
    <n v="0.45"/>
    <n v="0.55000000000000004"/>
    <n v="0.9693643094204748"/>
    <n v="0.98551488016855415"/>
  </r>
  <r>
    <x v="8"/>
    <x v="2"/>
    <n v="1533"/>
    <n v="2637"/>
    <n v="4170"/>
    <n v="182"/>
    <n v="8674"/>
    <n v="8856"/>
    <n v="13026"/>
    <n v="0.3201289728235836"/>
    <n v="0.36762589928057554"/>
    <n v="0.63237410071942446"/>
    <n v="0.67987102717641634"/>
    <n v="0.97944896115627822"/>
  </r>
  <r>
    <x v="8"/>
    <x v="3"/>
    <n v="2661"/>
    <n v="2774"/>
    <n v="5435"/>
    <n v="626"/>
    <n v="25543"/>
    <n v="26169"/>
    <n v="31604"/>
    <n v="0.17197190229084927"/>
    <n v="0.48960441582336706"/>
    <n v="0.51039558417663289"/>
    <n v="0.82802809770915076"/>
    <n v="0.97607856624250067"/>
  </r>
  <r>
    <x v="8"/>
    <x v="4"/>
    <n v="2529"/>
    <n v="2290"/>
    <n v="4819"/>
    <n v="756"/>
    <n v="24856"/>
    <n v="25612"/>
    <n v="30431"/>
    <n v="0.15835825309717064"/>
    <n v="0.52479767586636228"/>
    <n v="0.47520232413363767"/>
    <n v="0.84164174690282934"/>
    <n v="0.9704825862876777"/>
  </r>
  <r>
    <x v="8"/>
    <x v="5"/>
    <n v="1799"/>
    <n v="1589"/>
    <n v="3388"/>
    <n v="791"/>
    <n v="27866"/>
    <n v="28657"/>
    <n v="32045"/>
    <n v="0.1057263223591824"/>
    <n v="0.53099173553719003"/>
    <n v="0.46900826446280991"/>
    <n v="0.89427367764081755"/>
    <n v="0.97239766898140068"/>
  </r>
  <r>
    <x v="8"/>
    <x v="6"/>
    <n v="1414"/>
    <n v="1077"/>
    <n v="2491"/>
    <n v="576"/>
    <n v="23544"/>
    <n v="24120"/>
    <n v="26611"/>
    <n v="9.3607906504828836E-2"/>
    <n v="0.56764351665997592"/>
    <n v="0.43235648334002408"/>
    <n v="0.90639209349517114"/>
    <n v="0.9761194029850746"/>
  </r>
  <r>
    <x v="8"/>
    <x v="7"/>
    <n v="650"/>
    <n v="659"/>
    <n v="1309"/>
    <n v="353"/>
    <n v="17391"/>
    <n v="17744"/>
    <n v="19053"/>
    <n v="6.8703091376686093E-2"/>
    <n v="0.49656226126814362"/>
    <n v="0.50343773873185638"/>
    <n v="0.93129690862331393"/>
    <n v="0.98010595130748424"/>
  </r>
  <r>
    <x v="8"/>
    <x v="8"/>
    <n v="360"/>
    <n v="336"/>
    <n v="696"/>
    <n v="180"/>
    <n v="10001"/>
    <n v="10181"/>
    <n v="10877"/>
    <n v="6.3988232049278296E-2"/>
    <n v="0.51724137931034486"/>
    <n v="0.48275862068965519"/>
    <n v="0.93601176795072172"/>
    <n v="0.98232000785777429"/>
  </r>
  <r>
    <x v="8"/>
    <x v="9"/>
    <n v="279"/>
    <n v="299"/>
    <n v="578"/>
    <n v="134"/>
    <n v="7253"/>
    <n v="7387"/>
    <n v="7965"/>
    <n v="7.2567482736974262E-2"/>
    <n v="0.48269896193771628"/>
    <n v="0.51730103806228378"/>
    <n v="0.92743251726302578"/>
    <n v="0.98186002436713149"/>
  </r>
  <r>
    <x v="8"/>
    <x v="10"/>
    <n v="123"/>
    <n v="131"/>
    <n v="254"/>
    <n v="69"/>
    <n v="4567"/>
    <n v="4636"/>
    <n v="4890"/>
    <n v="5.1942740286298569E-2"/>
    <n v="0.48425196850393698"/>
    <n v="0.51574803149606296"/>
    <n v="0.94805725971370147"/>
    <n v="0.98511647972389993"/>
  </r>
  <r>
    <x v="9"/>
    <x v="0"/>
    <n v="166"/>
    <n v="345"/>
    <n v="511"/>
    <n v="2"/>
    <n v="10"/>
    <n v="12"/>
    <n v="523"/>
    <n v="0.97705544933078392"/>
    <n v="0.32485322896281799"/>
    <n v="0.67514677103718201"/>
    <n v="2.2944550669216062E-2"/>
    <n v="0.83333333333333337"/>
  </r>
  <r>
    <x v="9"/>
    <x v="1"/>
    <n v="57"/>
    <n v="59"/>
    <n v="116"/>
    <n v="97"/>
    <n v="2779"/>
    <n v="2876"/>
    <n v="2992"/>
    <n v="3.8770053475935831E-2"/>
    <n v="0.49137931034482757"/>
    <n v="0.50862068965517238"/>
    <n v="0.96122994652406413"/>
    <n v="0.9662726008344924"/>
  </r>
  <r>
    <x v="9"/>
    <x v="2"/>
    <n v="1132"/>
    <n v="2254"/>
    <n v="3386"/>
    <n v="330"/>
    <n v="11723"/>
    <n v="12053"/>
    <n v="15439"/>
    <n v="0.21931472245611763"/>
    <n v="0.33431777909037214"/>
    <n v="0.66568222090962792"/>
    <n v="0.78068527754388239"/>
    <n v="0.97262092425122371"/>
  </r>
  <r>
    <x v="9"/>
    <x v="3"/>
    <n v="2498"/>
    <n v="2529"/>
    <n v="5027"/>
    <n v="699"/>
    <n v="26217"/>
    <n v="26916"/>
    <n v="31943"/>
    <n v="0.15737407256675953"/>
    <n v="0.49691665008951663"/>
    <n v="0.50308334991048342"/>
    <n v="0.8426259274332405"/>
    <n v="0.97403031654034777"/>
  </r>
  <r>
    <x v="9"/>
    <x v="4"/>
    <n v="1992"/>
    <n v="1798"/>
    <n v="3790"/>
    <n v="724"/>
    <n v="23656"/>
    <n v="24380"/>
    <n v="28170"/>
    <n v="0.13454029108981186"/>
    <n v="0.52559366754617409"/>
    <n v="0.47440633245382585"/>
    <n v="0.8654597089101882"/>
    <n v="0.97030352748154225"/>
  </r>
  <r>
    <x v="9"/>
    <x v="5"/>
    <n v="1199"/>
    <n v="1035"/>
    <n v="2234"/>
    <n v="671"/>
    <n v="25939"/>
    <n v="26610"/>
    <n v="28844"/>
    <n v="7.7451116350020804E-2"/>
    <n v="0.53670546105640105"/>
    <n v="0.4632945389435989"/>
    <n v="0.92254888364997922"/>
    <n v="0.9747839158211199"/>
  </r>
  <r>
    <x v="9"/>
    <x v="6"/>
    <n v="881"/>
    <n v="646"/>
    <n v="1527"/>
    <n v="485"/>
    <n v="22449"/>
    <n v="22934"/>
    <n v="24461"/>
    <n v="6.2425902456972326E-2"/>
    <n v="0.5769482645710543"/>
    <n v="0.42305173542894564"/>
    <n v="0.93757409754302767"/>
    <n v="0.978852358943054"/>
  </r>
  <r>
    <x v="9"/>
    <x v="7"/>
    <n v="482"/>
    <n v="372"/>
    <n v="854"/>
    <n v="330"/>
    <n v="15051"/>
    <n v="15381"/>
    <n v="16235"/>
    <n v="5.2602402217431475E-2"/>
    <n v="0.56440281030444961"/>
    <n v="0.43559718969555034"/>
    <n v="0.94739759778256849"/>
    <n v="0.9785449580651453"/>
  </r>
  <r>
    <x v="9"/>
    <x v="8"/>
    <n v="337"/>
    <n v="239"/>
    <n v="576"/>
    <n v="177"/>
    <n v="8792"/>
    <n v="8969"/>
    <n v="9545"/>
    <n v="6.0345730749083289E-2"/>
    <n v="0.58506944444444442"/>
    <n v="0.41493055555555558"/>
    <n v="0.93965426925091666"/>
    <n v="0.9802653584569071"/>
  </r>
  <r>
    <x v="9"/>
    <x v="9"/>
    <n v="259"/>
    <n v="219"/>
    <n v="478"/>
    <n v="131"/>
    <n v="6531"/>
    <n v="6662"/>
    <n v="7140"/>
    <n v="6.6946778711484592E-2"/>
    <n v="0.54184100418410042"/>
    <n v="0.45815899581589958"/>
    <n v="0.93305322128851542"/>
    <n v="0.98033623536475534"/>
  </r>
  <r>
    <x v="9"/>
    <x v="10"/>
    <n v="131"/>
    <n v="136"/>
    <n v="267"/>
    <n v="80"/>
    <n v="3693"/>
    <n v="3773"/>
    <n v="4040"/>
    <n v="6.6089108910891092E-2"/>
    <n v="0.49063670411985016"/>
    <n v="0.50936329588014984"/>
    <n v="0.93391089108910896"/>
    <n v="0.97879671349059105"/>
  </r>
  <r>
    <x v="10"/>
    <x v="0"/>
    <n v="476"/>
    <n v="935"/>
    <n v="1411"/>
    <n v="2"/>
    <n v="51"/>
    <n v="53"/>
    <n v="1464"/>
    <n v="0.96379781420765032"/>
    <n v="0.33734939759036142"/>
    <n v="0.66265060240963858"/>
    <n v="3.6202185792349725E-2"/>
    <n v="0.96226415094339623"/>
  </r>
  <r>
    <x v="10"/>
    <x v="1"/>
    <n v="91"/>
    <n v="180"/>
    <n v="271"/>
    <n v="122"/>
    <n v="6091"/>
    <n v="6213"/>
    <n v="6484"/>
    <n v="4.1795188155459594E-2"/>
    <n v="0.33579335793357934"/>
    <n v="0.66420664206642066"/>
    <n v="0.95820481184454043"/>
    <n v="0.98036375342024784"/>
  </r>
  <r>
    <x v="10"/>
    <x v="2"/>
    <n v="3557"/>
    <n v="6608"/>
    <n v="10165"/>
    <n v="1190"/>
    <n v="15605"/>
    <n v="16795"/>
    <n v="26960"/>
    <n v="0.37704005934718099"/>
    <n v="0.34992621741269059"/>
    <n v="0.65007378258730941"/>
    <n v="0.62295994065281901"/>
    <n v="0.9291455790413814"/>
  </r>
  <r>
    <x v="10"/>
    <x v="3"/>
    <n v="6167"/>
    <n v="6779"/>
    <n v="12946"/>
    <n v="3822"/>
    <n v="48111"/>
    <n v="51933"/>
    <n v="64879"/>
    <n v="0.19954068342607006"/>
    <n v="0.47636335547659509"/>
    <n v="0.52363664452340486"/>
    <n v="0.80045931657392988"/>
    <n v="0.92640517589971694"/>
  </r>
  <r>
    <x v="10"/>
    <x v="4"/>
    <n v="4763"/>
    <n v="5973"/>
    <n v="10736"/>
    <n v="3692"/>
    <n v="50872"/>
    <n v="54564"/>
    <n v="65300"/>
    <n v="0.1644104134762634"/>
    <n v="0.44364754098360654"/>
    <n v="0.55635245901639341"/>
    <n v="0.8355895865237366"/>
    <n v="0.93233633897808077"/>
  </r>
  <r>
    <x v="10"/>
    <x v="5"/>
    <n v="3552"/>
    <n v="4146"/>
    <n v="7698"/>
    <n v="3035"/>
    <n v="53833"/>
    <n v="56868"/>
    <n v="64566"/>
    <n v="0.11922683765449307"/>
    <n v="0.46141855027279816"/>
    <n v="0.5385814497272019"/>
    <n v="0.88077316234550695"/>
    <n v="0.94663079411971585"/>
  </r>
  <r>
    <x v="10"/>
    <x v="6"/>
    <n v="2522"/>
    <n v="2777"/>
    <n v="5299"/>
    <n v="2020"/>
    <n v="44693"/>
    <n v="46713"/>
    <n v="52012"/>
    <n v="0.10188033530723679"/>
    <n v="0.47593885638799771"/>
    <n v="0.52406114361200229"/>
    <n v="0.89811966469276316"/>
    <n v="0.95675721961766536"/>
  </r>
  <r>
    <x v="10"/>
    <x v="7"/>
    <n v="1489"/>
    <n v="1624"/>
    <n v="3113"/>
    <n v="1056"/>
    <n v="32743"/>
    <n v="33799"/>
    <n v="36912"/>
    <n v="8.4335717381881226E-2"/>
    <n v="0.47831673626726628"/>
    <n v="0.52168326373273366"/>
    <n v="0.91566428261811872"/>
    <n v="0.96875647208497295"/>
  </r>
  <r>
    <x v="10"/>
    <x v="8"/>
    <n v="922"/>
    <n v="1175"/>
    <n v="2097"/>
    <n v="580"/>
    <n v="20519"/>
    <n v="21099"/>
    <n v="23196"/>
    <n v="9.0403517847904805E-2"/>
    <n v="0.43967572722937531"/>
    <n v="0.56032427277062469"/>
    <n v="0.90959648215209521"/>
    <n v="0.97251054552348448"/>
  </r>
  <r>
    <x v="10"/>
    <x v="9"/>
    <n v="721"/>
    <n v="1245"/>
    <n v="1966"/>
    <n v="333"/>
    <n v="15186"/>
    <n v="15519"/>
    <n v="17485"/>
    <n v="0.1124392336288247"/>
    <n v="0.36673448626653105"/>
    <n v="0.63326551373346895"/>
    <n v="0.88756076637117531"/>
    <n v="0.97854243185772283"/>
  </r>
  <r>
    <x v="10"/>
    <x v="10"/>
    <n v="301"/>
    <n v="547"/>
    <n v="848"/>
    <n v="165"/>
    <n v="8543"/>
    <n v="8708"/>
    <n v="9556"/>
    <n v="8.8740058601925492E-2"/>
    <n v="0.35495283018867924"/>
    <n v="0.64504716981132071"/>
    <n v="0.91125994139807454"/>
    <n v="0.98105190629306382"/>
  </r>
  <r>
    <x v="11"/>
    <x v="0"/>
    <n v="2531"/>
    <n v="4654"/>
    <n v="7185"/>
    <n v="43"/>
    <n v="322"/>
    <n v="365"/>
    <n v="7550"/>
    <n v="0.95165562913907287"/>
    <n v="0.35226165622825328"/>
    <n v="0.64773834377174666"/>
    <n v="4.8344370860927154E-2"/>
    <n v="0.88219178082191785"/>
  </r>
  <r>
    <x v="11"/>
    <x v="1"/>
    <n v="1563"/>
    <n v="2451"/>
    <n v="4014"/>
    <n v="1662"/>
    <n v="50213"/>
    <n v="51875"/>
    <n v="55889"/>
    <n v="7.1820930773497466E-2"/>
    <n v="0.38938714499252614"/>
    <n v="0.61061285500747386"/>
    <n v="0.92817906922650251"/>
    <n v="0.96796144578313248"/>
  </r>
  <r>
    <x v="11"/>
    <x v="2"/>
    <n v="24297"/>
    <n v="41304"/>
    <n v="65601"/>
    <n v="3103"/>
    <n v="66512"/>
    <n v="69615"/>
    <n v="135216"/>
    <n v="0.48515708200212992"/>
    <n v="0.3703754515937257"/>
    <n v="0.62962454840627424"/>
    <n v="0.51484291799787008"/>
    <n v="0.95542627307333194"/>
  </r>
  <r>
    <x v="11"/>
    <x v="3"/>
    <n v="47407"/>
    <n v="59092"/>
    <n v="106499"/>
    <n v="10569"/>
    <n v="222993"/>
    <n v="233562"/>
    <n v="340061"/>
    <n v="0.3131761654526688"/>
    <n v="0.44514032995614983"/>
    <n v="0.55485967004385017"/>
    <n v="0.6868238345473312"/>
    <n v="0.95474863205487193"/>
  </r>
  <r>
    <x v="11"/>
    <x v="4"/>
    <n v="43748"/>
    <n v="52584"/>
    <n v="96332"/>
    <n v="12169"/>
    <n v="246066"/>
    <n v="258235"/>
    <n v="354567"/>
    <n v="0.27168913068616085"/>
    <n v="0.45413777353319768"/>
    <n v="0.54586222646680227"/>
    <n v="0.72831086931383915"/>
    <n v="0.95287625612329852"/>
  </r>
  <r>
    <x v="11"/>
    <x v="5"/>
    <n v="33571"/>
    <n v="38507"/>
    <n v="72078"/>
    <n v="11435"/>
    <n v="282844"/>
    <n v="294279"/>
    <n v="366357"/>
    <n v="0.19674252163872943"/>
    <n v="0.46575931629623463"/>
    <n v="0.53424068370376532"/>
    <n v="0.80325747836127059"/>
    <n v="0.96114231732471567"/>
  </r>
  <r>
    <x v="11"/>
    <x v="6"/>
    <n v="24738"/>
    <n v="28386"/>
    <n v="53124"/>
    <n v="8655"/>
    <n v="246539"/>
    <n v="255194"/>
    <n v="308318"/>
    <n v="0.17230262261690851"/>
    <n v="0.46566523605150212"/>
    <n v="0.53433476394849788"/>
    <n v="0.82769737738309146"/>
    <n v="0.9660846258140865"/>
  </r>
  <r>
    <x v="11"/>
    <x v="7"/>
    <n v="15325"/>
    <n v="18280"/>
    <n v="33605"/>
    <n v="5738"/>
    <n v="183348"/>
    <n v="189086"/>
    <n v="222691"/>
    <n v="0.15090416765832476"/>
    <n v="0.45603332837375393"/>
    <n v="0.54396667162624612"/>
    <n v="0.84909583234167518"/>
    <n v="0.96965401986397726"/>
  </r>
  <r>
    <x v="11"/>
    <x v="8"/>
    <n v="9288"/>
    <n v="10342"/>
    <n v="19630"/>
    <n v="3869"/>
    <n v="114377"/>
    <n v="118246"/>
    <n v="137876"/>
    <n v="0.1423743073486321"/>
    <n v="0.47315333672949567"/>
    <n v="0.52684666327050433"/>
    <n v="0.8576256926513679"/>
    <n v="0.96728007712734465"/>
  </r>
  <r>
    <x v="11"/>
    <x v="9"/>
    <n v="6782"/>
    <n v="7767"/>
    <n v="14549"/>
    <n v="2904"/>
    <n v="88959"/>
    <n v="91863"/>
    <n v="106412"/>
    <n v="0.13672330188324625"/>
    <n v="0.46614887621142348"/>
    <n v="0.53385112378857658"/>
    <n v="0.86327669811675378"/>
    <n v="0.96838770778224093"/>
  </r>
  <r>
    <x v="11"/>
    <x v="10"/>
    <n v="3069"/>
    <n v="4252"/>
    <n v="7321"/>
    <n v="1604"/>
    <n v="54458"/>
    <n v="56062"/>
    <n v="63383"/>
    <n v="0.11550415726614392"/>
    <n v="0.41920502663570552"/>
    <n v="0.58079497336429453"/>
    <n v="0.88449584273385606"/>
    <n v="0.97138881952124434"/>
  </r>
  <r>
    <x v="12"/>
    <x v="0"/>
    <n v="144"/>
    <n v="510"/>
    <n v="654"/>
    <n v="4"/>
    <n v="9"/>
    <n v="13"/>
    <n v="667"/>
    <n v="0.98050974512743627"/>
    <n v="0.22018348623853212"/>
    <n v="0.77981651376146788"/>
    <n v="1.9490254872563718E-2"/>
    <n v="0.69230769230769229"/>
  </r>
  <r>
    <x v="12"/>
    <x v="1"/>
    <n v="26"/>
    <n v="38"/>
    <n v="64"/>
    <n v="23"/>
    <n v="2129"/>
    <n v="2152"/>
    <n v="2216"/>
    <n v="2.8880866425992781E-2"/>
    <n v="0.40625"/>
    <n v="0.59375"/>
    <n v="0.97111913357400725"/>
    <n v="0.98931226765799252"/>
  </r>
  <r>
    <x v="12"/>
    <x v="2"/>
    <n v="1119"/>
    <n v="2579"/>
    <n v="3698"/>
    <n v="316"/>
    <n v="11280"/>
    <n v="11596"/>
    <n v="15294"/>
    <n v="0.24179416764744344"/>
    <n v="0.30259599783666846"/>
    <n v="0.69740400216333154"/>
    <n v="0.75820583235255656"/>
    <n v="0.97274922387030005"/>
  </r>
  <r>
    <x v="12"/>
    <x v="3"/>
    <n v="1686"/>
    <n v="2076"/>
    <n v="3762"/>
    <n v="730"/>
    <n v="27629"/>
    <n v="28359"/>
    <n v="32121"/>
    <n v="0.11711964135612217"/>
    <n v="0.44816586921850082"/>
    <n v="0.55183413078149923"/>
    <n v="0.88288035864387782"/>
    <n v="0.9742586127860644"/>
  </r>
  <r>
    <x v="12"/>
    <x v="4"/>
    <n v="1575"/>
    <n v="1444"/>
    <n v="3019"/>
    <n v="645"/>
    <n v="24004"/>
    <n v="24649"/>
    <n v="27668"/>
    <n v="0.10911522336272951"/>
    <n v="0.52169592580324609"/>
    <n v="0.47830407419675391"/>
    <n v="0.8908847766372705"/>
    <n v="0.97383260984218423"/>
  </r>
  <r>
    <x v="12"/>
    <x v="5"/>
    <n v="1205"/>
    <n v="808"/>
    <n v="2013"/>
    <n v="546"/>
    <n v="25391"/>
    <n v="25937"/>
    <n v="27950"/>
    <n v="7.2021466905187834E-2"/>
    <n v="0.5986090412319921"/>
    <n v="0.40139095876800795"/>
    <n v="0.92797853309481215"/>
    <n v="0.97894899178779349"/>
  </r>
  <r>
    <x v="12"/>
    <x v="6"/>
    <n v="923"/>
    <n v="592"/>
    <n v="1515"/>
    <n v="366"/>
    <n v="20940"/>
    <n v="21306"/>
    <n v="22821"/>
    <n v="6.638622321545945E-2"/>
    <n v="0.60924092409240926"/>
    <n v="0.39075907590759074"/>
    <n v="0.93361377678454061"/>
    <n v="0.98282174035482961"/>
  </r>
  <r>
    <x v="12"/>
    <x v="7"/>
    <n v="551"/>
    <n v="409"/>
    <n v="960"/>
    <n v="220"/>
    <n v="13733"/>
    <n v="13953"/>
    <n v="14913"/>
    <n v="6.4373365520016088E-2"/>
    <n v="0.57395833333333335"/>
    <n v="0.42604166666666665"/>
    <n v="0.93562663447998395"/>
    <n v="0.98423278148068516"/>
  </r>
  <r>
    <x v="12"/>
    <x v="8"/>
    <n v="362"/>
    <n v="273"/>
    <n v="635"/>
    <n v="122"/>
    <n v="7651"/>
    <n v="7773"/>
    <n v="8408"/>
    <n v="7.5523311132254994E-2"/>
    <n v="0.57007874015748028"/>
    <n v="0.42992125984251967"/>
    <n v="0.92447668886774503"/>
    <n v="0.98430464428148723"/>
  </r>
  <r>
    <x v="12"/>
    <x v="9"/>
    <n v="301"/>
    <n v="300"/>
    <n v="601"/>
    <n v="68"/>
    <n v="4986"/>
    <n v="5054"/>
    <n v="5655"/>
    <n v="0.10627763041556144"/>
    <n v="0.50083194675540765"/>
    <n v="0.49916805324459235"/>
    <n v="0.89372236958443851"/>
    <n v="0.98654531064503359"/>
  </r>
  <r>
    <x v="12"/>
    <x v="10"/>
    <n v="102"/>
    <n v="121"/>
    <n v="223"/>
    <n v="29"/>
    <n v="2704"/>
    <n v="2733"/>
    <n v="2956"/>
    <n v="7.5439783491204324E-2"/>
    <n v="0.45739910313901344"/>
    <n v="0.54260089686098656"/>
    <n v="0.92456021650879572"/>
    <n v="0.98938894987193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BFEBD-FA8F-F94C-8830-D9B5DEA55FA6}" name="kpi"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6:M7" firstHeaderRow="0" firstDataRow="1" firstDataCol="0"/>
  <pivotFields count="19">
    <pivotField showAll="0">
      <items count="14">
        <item x="0"/>
        <item x="1"/>
        <item x="2"/>
        <item x="3"/>
        <item x="4"/>
        <item x="5"/>
        <item x="6"/>
        <item x="7"/>
        <item x="8"/>
        <item x="9"/>
        <item x="10"/>
        <item x="11"/>
        <item x="12"/>
        <item t="default"/>
      </items>
    </pivotField>
    <pivotField showAll="0">
      <items count="12">
        <item x="2"/>
        <item x="3"/>
        <item x="4"/>
        <item x="5"/>
        <item x="6"/>
        <item x="7"/>
        <item x="8"/>
        <item x="9"/>
        <item x="10"/>
        <item x="0"/>
        <item x="1"/>
        <item t="default"/>
      </items>
    </pivotField>
    <pivotField showAll="0"/>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5">
    <i>
      <x/>
    </i>
    <i i="1">
      <x v="1"/>
    </i>
    <i i="2">
      <x v="2"/>
    </i>
    <i i="3">
      <x v="3"/>
    </i>
    <i i="4">
      <x v="4"/>
    </i>
  </colItems>
  <dataFields count="5">
    <dataField name="Average of معدل التوطين" fld="9" subtotal="average" baseField="0" baseItem="0" numFmtId="165"/>
    <dataField name="Average of نسبة تأنيث السعوديين" fld="10" subtotal="average" baseField="0" baseItem="0" numFmtId="165"/>
    <dataField name="Average of اعتماد على الوافد" fld="12" subtotal="average" baseField="0" baseItem="0" numFmtId="165"/>
    <dataField name="Average of نسبة الذكور السعوديين" fld="11" subtotal="average" baseField="0" baseItem="0" numFmtId="165"/>
    <dataField name="Average of نسبة الذكور الوافدين" fld="13" subtotal="average" baseField="0" baseItem="0" numFmtId="165"/>
  </dataFields>
  <formats count="10">
    <format dxfId="556">
      <pivotArea outline="0" collapsedLevelsAreSubtotals="1" fieldPosition="0">
        <references count="1">
          <reference field="4294967294" count="1" selected="0">
            <x v="0"/>
          </reference>
        </references>
      </pivotArea>
    </format>
    <format dxfId="557">
      <pivotArea outline="0" collapsedLevelsAreSubtotals="1" fieldPosition="0">
        <references count="1">
          <reference field="4294967294" count="1" selected="0">
            <x v="1"/>
          </reference>
        </references>
      </pivotArea>
    </format>
    <format dxfId="558">
      <pivotArea outline="0" collapsedLevelsAreSubtotals="1" fieldPosition="0">
        <references count="1">
          <reference field="4294967294" count="1" selected="0">
            <x v="2"/>
          </reference>
        </references>
      </pivotArea>
    </format>
    <format dxfId="559">
      <pivotArea outline="0" collapsedLevelsAreSubtotals="1" fieldPosition="0">
        <references count="1">
          <reference field="4294967294" count="1" selected="0">
            <x v="3"/>
          </reference>
        </references>
      </pivotArea>
    </format>
    <format dxfId="560">
      <pivotArea outline="0" collapsedLevelsAreSubtotals="1" fieldPosition="0">
        <references count="1">
          <reference field="4294967294" count="1" selected="0">
            <x v="4"/>
          </reference>
        </references>
      </pivotArea>
    </format>
    <format dxfId="561">
      <pivotArea outline="0" fieldPosition="0">
        <references count="1">
          <reference field="4294967294" count="1">
            <x v="0"/>
          </reference>
        </references>
      </pivotArea>
    </format>
    <format dxfId="562">
      <pivotArea outline="0" fieldPosition="0">
        <references count="1">
          <reference field="4294967294" count="1">
            <x v="1"/>
          </reference>
        </references>
      </pivotArea>
    </format>
    <format dxfId="563">
      <pivotArea outline="0" fieldPosition="0">
        <references count="1">
          <reference field="4294967294" count="1">
            <x v="2"/>
          </reference>
        </references>
      </pivotArea>
    </format>
    <format dxfId="564">
      <pivotArea outline="0" fieldPosition="0">
        <references count="1">
          <reference field="4294967294" count="1">
            <x v="3"/>
          </reference>
        </references>
      </pivotArea>
    </format>
    <format dxfId="565">
      <pivotArea outline="0" fieldPosition="0">
        <references count="1">
          <reference field="4294967294"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AF19E3-0A68-114E-9322-4AA6D4287376}" name="PivotTable2"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F159" firstHeaderRow="0" firstDataRow="1" firstDataCol="1"/>
  <pivotFields count="19">
    <pivotField axis="axisRow" showAll="0">
      <items count="14">
        <item x="0"/>
        <item x="1"/>
        <item x="2"/>
        <item x="3"/>
        <item x="4"/>
        <item x="5"/>
        <item x="6"/>
        <item x="7"/>
        <item x="8"/>
        <item x="9"/>
        <item x="10"/>
        <item x="11"/>
        <item x="12"/>
        <item t="default"/>
      </items>
    </pivotField>
    <pivotField axis="axisRow" showAll="0">
      <items count="12">
        <item x="2"/>
        <item x="3"/>
        <item x="4"/>
        <item x="5"/>
        <item x="6"/>
        <item x="7"/>
        <item x="8"/>
        <item x="9"/>
        <item x="10"/>
        <item x="0"/>
        <item x="1"/>
        <item t="default"/>
      </items>
    </pivotField>
    <pivotField showAll="0"/>
    <pivotField showAll="0"/>
    <pivotField showAll="0"/>
    <pivotField showAll="0"/>
    <pivotField showAll="0"/>
    <pivotField showAll="0"/>
    <pivotField showAll="0"/>
    <pivotField dataField="1" numFmtId="9" showAll="0"/>
    <pivotField dataField="1" numFmtId="9" showAll="0"/>
    <pivotField dataField="1" numFmtId="9" showAll="0"/>
    <pivotField dataField="1" numFmtId="9" showAll="0"/>
    <pivotField dataField="1"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0"/>
    <field x="1"/>
  </rowFields>
  <rowItems count="156">
    <i>
      <x/>
    </i>
    <i r="1">
      <x/>
    </i>
    <i r="1">
      <x v="1"/>
    </i>
    <i r="1">
      <x v="2"/>
    </i>
    <i r="1">
      <x v="3"/>
    </i>
    <i r="1">
      <x v="4"/>
    </i>
    <i r="1">
      <x v="5"/>
    </i>
    <i r="1">
      <x v="6"/>
    </i>
    <i r="1">
      <x v="7"/>
    </i>
    <i r="1">
      <x v="8"/>
    </i>
    <i r="1">
      <x v="9"/>
    </i>
    <i r="1">
      <x v="10"/>
    </i>
    <i>
      <x v="1"/>
    </i>
    <i r="1">
      <x/>
    </i>
    <i r="1">
      <x v="1"/>
    </i>
    <i r="1">
      <x v="2"/>
    </i>
    <i r="1">
      <x v="3"/>
    </i>
    <i r="1">
      <x v="4"/>
    </i>
    <i r="1">
      <x v="5"/>
    </i>
    <i r="1">
      <x v="6"/>
    </i>
    <i r="1">
      <x v="7"/>
    </i>
    <i r="1">
      <x v="8"/>
    </i>
    <i r="1">
      <x v="9"/>
    </i>
    <i r="1">
      <x v="10"/>
    </i>
    <i>
      <x v="2"/>
    </i>
    <i r="1">
      <x/>
    </i>
    <i r="1">
      <x v="1"/>
    </i>
    <i r="1">
      <x v="2"/>
    </i>
    <i r="1">
      <x v="3"/>
    </i>
    <i r="1">
      <x v="4"/>
    </i>
    <i r="1">
      <x v="5"/>
    </i>
    <i r="1">
      <x v="6"/>
    </i>
    <i r="1">
      <x v="7"/>
    </i>
    <i r="1">
      <x v="8"/>
    </i>
    <i r="1">
      <x v="9"/>
    </i>
    <i r="1">
      <x v="10"/>
    </i>
    <i>
      <x v="3"/>
    </i>
    <i r="1">
      <x/>
    </i>
    <i r="1">
      <x v="1"/>
    </i>
    <i r="1">
      <x v="2"/>
    </i>
    <i r="1">
      <x v="3"/>
    </i>
    <i r="1">
      <x v="4"/>
    </i>
    <i r="1">
      <x v="5"/>
    </i>
    <i r="1">
      <x v="6"/>
    </i>
    <i r="1">
      <x v="7"/>
    </i>
    <i r="1">
      <x v="8"/>
    </i>
    <i r="1">
      <x v="9"/>
    </i>
    <i r="1">
      <x v="10"/>
    </i>
    <i>
      <x v="4"/>
    </i>
    <i r="1">
      <x/>
    </i>
    <i r="1">
      <x v="1"/>
    </i>
    <i r="1">
      <x v="2"/>
    </i>
    <i r="1">
      <x v="3"/>
    </i>
    <i r="1">
      <x v="4"/>
    </i>
    <i r="1">
      <x v="5"/>
    </i>
    <i r="1">
      <x v="6"/>
    </i>
    <i r="1">
      <x v="7"/>
    </i>
    <i r="1">
      <x v="8"/>
    </i>
    <i r="1">
      <x v="9"/>
    </i>
    <i r="1">
      <x v="10"/>
    </i>
    <i>
      <x v="5"/>
    </i>
    <i r="1">
      <x/>
    </i>
    <i r="1">
      <x v="1"/>
    </i>
    <i r="1">
      <x v="2"/>
    </i>
    <i r="1">
      <x v="3"/>
    </i>
    <i r="1">
      <x v="4"/>
    </i>
    <i r="1">
      <x v="5"/>
    </i>
    <i r="1">
      <x v="6"/>
    </i>
    <i r="1">
      <x v="7"/>
    </i>
    <i r="1">
      <x v="8"/>
    </i>
    <i r="1">
      <x v="9"/>
    </i>
    <i r="1">
      <x v="10"/>
    </i>
    <i>
      <x v="6"/>
    </i>
    <i r="1">
      <x/>
    </i>
    <i r="1">
      <x v="1"/>
    </i>
    <i r="1">
      <x v="2"/>
    </i>
    <i r="1">
      <x v="3"/>
    </i>
    <i r="1">
      <x v="4"/>
    </i>
    <i r="1">
      <x v="5"/>
    </i>
    <i r="1">
      <x v="6"/>
    </i>
    <i r="1">
      <x v="7"/>
    </i>
    <i r="1">
      <x v="8"/>
    </i>
    <i r="1">
      <x v="9"/>
    </i>
    <i r="1">
      <x v="10"/>
    </i>
    <i>
      <x v="7"/>
    </i>
    <i r="1">
      <x/>
    </i>
    <i r="1">
      <x v="1"/>
    </i>
    <i r="1">
      <x v="2"/>
    </i>
    <i r="1">
      <x v="3"/>
    </i>
    <i r="1">
      <x v="4"/>
    </i>
    <i r="1">
      <x v="5"/>
    </i>
    <i r="1">
      <x v="6"/>
    </i>
    <i r="1">
      <x v="7"/>
    </i>
    <i r="1">
      <x v="8"/>
    </i>
    <i r="1">
      <x v="9"/>
    </i>
    <i r="1">
      <x v="10"/>
    </i>
    <i>
      <x v="8"/>
    </i>
    <i r="1">
      <x/>
    </i>
    <i r="1">
      <x v="1"/>
    </i>
    <i r="1">
      <x v="2"/>
    </i>
    <i r="1">
      <x v="3"/>
    </i>
    <i r="1">
      <x v="4"/>
    </i>
    <i r="1">
      <x v="5"/>
    </i>
    <i r="1">
      <x v="6"/>
    </i>
    <i r="1">
      <x v="7"/>
    </i>
    <i r="1">
      <x v="8"/>
    </i>
    <i r="1">
      <x v="9"/>
    </i>
    <i r="1">
      <x v="10"/>
    </i>
    <i>
      <x v="9"/>
    </i>
    <i r="1">
      <x/>
    </i>
    <i r="1">
      <x v="1"/>
    </i>
    <i r="1">
      <x v="2"/>
    </i>
    <i r="1">
      <x v="3"/>
    </i>
    <i r="1">
      <x v="4"/>
    </i>
    <i r="1">
      <x v="5"/>
    </i>
    <i r="1">
      <x v="6"/>
    </i>
    <i r="1">
      <x v="7"/>
    </i>
    <i r="1">
      <x v="8"/>
    </i>
    <i r="1">
      <x v="9"/>
    </i>
    <i r="1">
      <x v="10"/>
    </i>
    <i>
      <x v="10"/>
    </i>
    <i r="1">
      <x/>
    </i>
    <i r="1">
      <x v="1"/>
    </i>
    <i r="1">
      <x v="2"/>
    </i>
    <i r="1">
      <x v="3"/>
    </i>
    <i r="1">
      <x v="4"/>
    </i>
    <i r="1">
      <x v="5"/>
    </i>
    <i r="1">
      <x v="6"/>
    </i>
    <i r="1">
      <x v="7"/>
    </i>
    <i r="1">
      <x v="8"/>
    </i>
    <i r="1">
      <x v="9"/>
    </i>
    <i r="1">
      <x v="10"/>
    </i>
    <i>
      <x v="11"/>
    </i>
    <i r="1">
      <x/>
    </i>
    <i r="1">
      <x v="1"/>
    </i>
    <i r="1">
      <x v="2"/>
    </i>
    <i r="1">
      <x v="3"/>
    </i>
    <i r="1">
      <x v="4"/>
    </i>
    <i r="1">
      <x v="5"/>
    </i>
    <i r="1">
      <x v="6"/>
    </i>
    <i r="1">
      <x v="7"/>
    </i>
    <i r="1">
      <x v="8"/>
    </i>
    <i r="1">
      <x v="9"/>
    </i>
    <i r="1">
      <x v="10"/>
    </i>
    <i>
      <x v="12"/>
    </i>
    <i r="1">
      <x/>
    </i>
    <i r="1">
      <x v="1"/>
    </i>
    <i r="1">
      <x v="2"/>
    </i>
    <i r="1">
      <x v="3"/>
    </i>
    <i r="1">
      <x v="4"/>
    </i>
    <i r="1">
      <x v="5"/>
    </i>
    <i r="1">
      <x v="6"/>
    </i>
    <i r="1">
      <x v="7"/>
    </i>
    <i r="1">
      <x v="8"/>
    </i>
    <i r="1">
      <x v="9"/>
    </i>
    <i r="1">
      <x v="10"/>
    </i>
  </rowItems>
  <colFields count="1">
    <field x="-2"/>
  </colFields>
  <colItems count="5">
    <i>
      <x/>
    </i>
    <i i="1">
      <x v="1"/>
    </i>
    <i i="2">
      <x v="2"/>
    </i>
    <i i="3">
      <x v="3"/>
    </i>
    <i i="4">
      <x v="4"/>
    </i>
  </colItems>
  <dataFields count="5">
    <dataField name="Average of معدل التوطين" fld="9" subtotal="average" baseField="0" baseItem="0"/>
    <dataField name="Average of نسبة تأنيث السعوديين" fld="10" subtotal="average" baseField="0" baseItem="0"/>
    <dataField name="Average of اعتماد على الوافد" fld="12" subtotal="average" baseField="0" baseItem="0"/>
    <dataField name="Average of نسبة الذكور السعوديين" fld="11" subtotal="average" baseField="0" baseItem="0"/>
    <dataField name="Average of نسبة الذكور الوافدين" fld="13" subtotal="average" baseField="0" baseItem="0"/>
  </dataFields>
  <formats count="2">
    <format dxfId="552">
      <pivotArea dataOnly="0" outline="0" fieldPosition="0">
        <references count="1">
          <reference field="4294967294" count="1">
            <x v="0"/>
          </reference>
        </references>
      </pivotArea>
    </format>
    <format dxfId="553">
      <pivotArea dataOnly="0"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227D24-E1C5-F249-AA27-92B33CDF86CE}" name="PivotTable4"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C17" firstHeaderRow="0" firstDataRow="1" firstDataCol="1"/>
  <pivotFields count="19">
    <pivotField showAll="0">
      <items count="14">
        <item x="0"/>
        <item x="1"/>
        <item x="2"/>
        <item x="3"/>
        <item x="4"/>
        <item x="5"/>
        <item x="6"/>
        <item x="7"/>
        <item x="8"/>
        <item x="9"/>
        <item x="10"/>
        <item x="11"/>
        <item x="12"/>
        <item t="default"/>
      </items>
    </pivotField>
    <pivotField axis="axisRow" showAll="0" sortType="descending">
      <items count="12">
        <item x="2"/>
        <item x="3"/>
        <item x="4"/>
        <item x="5"/>
        <item x="6"/>
        <item x="7"/>
        <item x="8"/>
        <item x="9"/>
        <item x="10"/>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pivotField numFmtId="9" showAll="0"/>
    <pivotField numFmtId="9" showAll="0"/>
    <pivotField numFmtId="9"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v="1"/>
    </i>
    <i>
      <x v="2"/>
    </i>
    <i>
      <x v="3"/>
    </i>
    <i>
      <x/>
    </i>
    <i>
      <x v="4"/>
    </i>
    <i>
      <x v="5"/>
    </i>
    <i>
      <x v="6"/>
    </i>
    <i>
      <x v="7"/>
    </i>
    <i>
      <x v="9"/>
    </i>
    <i>
      <x v="8"/>
    </i>
    <i>
      <x v="10"/>
    </i>
  </rowItems>
  <colFields count="1">
    <field x="-2"/>
  </colFields>
  <colItems count="2">
    <i>
      <x/>
    </i>
    <i i="1">
      <x v="1"/>
    </i>
  </colItems>
  <dataFields count="2">
    <dataField name="سعودي" fld="4" baseField="0" baseItem="0" numFmtId="170"/>
    <dataField name="غير سعودي" fld="7" baseField="0" baseItem="0" numFmtId="170"/>
  </dataFields>
  <formats count="4">
    <format dxfId="548">
      <pivotArea outline="0" collapsedLevelsAreSubtotals="1" fieldPosition="0">
        <references count="1">
          <reference field="4294967294" count="1" selected="0">
            <x v="1"/>
          </reference>
        </references>
      </pivotArea>
    </format>
    <format dxfId="549">
      <pivotArea dataOnly="0" labelOnly="1" outline="0" fieldPosition="0">
        <references count="1">
          <reference field="4294967294" count="1">
            <x v="1"/>
          </reference>
        </references>
      </pivotArea>
    </format>
    <format dxfId="550">
      <pivotArea outline="0" collapsedLevelsAreSubtotals="1" fieldPosition="0">
        <references count="1">
          <reference field="4294967294" count="1" selected="0">
            <x v="0"/>
          </reference>
        </references>
      </pivotArea>
    </format>
    <format dxfId="551">
      <pivotArea dataOnly="0" labelOnly="1" outline="0" fieldPosition="0">
        <references count="1">
          <reference field="4294967294" count="1">
            <x v="0"/>
          </reference>
        </references>
      </pivotArea>
    </format>
  </formats>
  <chartFormats count="4">
    <chartFormat chart="5"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DC383-6A99-BC40-8C29-D89B079BED9C}" name="PivotTable5"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المنطقة">
  <location ref="B7:C20" firstHeaderRow="1" firstDataRow="1" firstDataCol="1"/>
  <pivotFields count="19">
    <pivotField axis="axisRow" showAll="0" sortType="ascending">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showAll="0">
      <items count="12">
        <item x="2"/>
        <item x="3"/>
        <item x="4"/>
        <item x="5"/>
        <item x="6"/>
        <item x="7"/>
        <item x="8"/>
        <item x="9"/>
        <item x="10"/>
        <item x="0"/>
        <item x="1"/>
        <item t="default"/>
      </items>
    </pivotField>
    <pivotField showAll="0"/>
    <pivotField showAll="0"/>
    <pivotField showAll="0"/>
    <pivotField showAll="0"/>
    <pivotField showAll="0"/>
    <pivotField showAll="0"/>
    <pivotField showAll="0"/>
    <pivotField dataField="1" numFmtId="9" showAll="0"/>
    <pivotField numFmtId="9" showAll="0"/>
    <pivotField numFmtId="9"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v="9"/>
    </i>
    <i>
      <x v="12"/>
    </i>
    <i>
      <x v="8"/>
    </i>
    <i>
      <x/>
    </i>
    <i>
      <x v="2"/>
    </i>
    <i>
      <x v="1"/>
    </i>
    <i>
      <x v="5"/>
    </i>
    <i>
      <x v="10"/>
    </i>
    <i>
      <x v="7"/>
    </i>
    <i>
      <x v="6"/>
    </i>
    <i>
      <x v="3"/>
    </i>
    <i>
      <x v="11"/>
    </i>
    <i>
      <x v="4"/>
    </i>
  </rowItems>
  <colItems count="1">
    <i/>
  </colItems>
  <dataFields count="1">
    <dataField name=" معدل التوطين" fld="9" subtotal="average" baseField="0" baseItem="0" numFmtId="165"/>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9755E-7FB0-3948-9DC3-E91B3B2F2E68}" name="PivotTable6"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1:B12" firstHeaderRow="1" firstDataRow="1" firstDataCol="1"/>
  <pivotFields count="19">
    <pivotField showAll="0">
      <items count="14">
        <item x="0"/>
        <item x="1"/>
        <item x="2"/>
        <item x="3"/>
        <item x="4"/>
        <item x="5"/>
        <item x="6"/>
        <item x="7"/>
        <item x="8"/>
        <item x="9"/>
        <item x="10"/>
        <item x="11"/>
        <item x="12"/>
        <item t="default"/>
      </items>
    </pivotField>
    <pivotField axis="axisRow" showAll="0">
      <items count="12">
        <item x="2"/>
        <item x="3"/>
        <item x="4"/>
        <item x="5"/>
        <item x="6"/>
        <item x="7"/>
        <item x="8"/>
        <item x="9"/>
        <item x="10"/>
        <item x="0"/>
        <item x="1"/>
        <item t="default"/>
      </items>
    </pivotField>
    <pivotField showAll="0"/>
    <pivotField showAll="0"/>
    <pivotField showAll="0"/>
    <pivotField showAll="0"/>
    <pivotField showAll="0"/>
    <pivotField showAll="0"/>
    <pivotField showAll="0"/>
    <pivotField numFmtId="9" showAll="0"/>
    <pivotField dataField="1" numFmtId="9" showAll="0"/>
    <pivotField numFmtId="9" showAll="0"/>
    <pivotField numFmtId="9" showAl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11">
    <i>
      <x/>
    </i>
    <i>
      <x v="1"/>
    </i>
    <i>
      <x v="2"/>
    </i>
    <i>
      <x v="3"/>
    </i>
    <i>
      <x v="4"/>
    </i>
    <i>
      <x v="5"/>
    </i>
    <i>
      <x v="6"/>
    </i>
    <i>
      <x v="7"/>
    </i>
    <i>
      <x v="8"/>
    </i>
    <i>
      <x v="9"/>
    </i>
    <i>
      <x v="10"/>
    </i>
  </rowItems>
  <colItems count="1">
    <i/>
  </colItems>
  <dataFields count="1">
    <dataField name="Average of نسبة تأنيث السعوديين" fld="10" subtotal="average" baseField="0" baseItem="0" numFmtId="165"/>
  </dataFields>
  <formats count="2">
    <format dxfId="554">
      <pivotArea dataOnly="0" labelOnly="1" outline="0" fieldPosition="0">
        <references count="1">
          <reference field="4294967294" count="1">
            <x v="0"/>
          </reference>
        </references>
      </pivotArea>
    </format>
    <format dxfId="555">
      <pivotArea outline="0" fieldPosition="0">
        <references count="1">
          <reference field="4294967294" count="1">
            <x v="0"/>
          </reference>
        </references>
      </pivotArea>
    </format>
  </formats>
  <chartFormats count="17">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6"/>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 chart="7" format="5">
      <pivotArea type="data" outline="0" fieldPosition="0">
        <references count="2">
          <reference field="4294967294" count="1" selected="0">
            <x v="0"/>
          </reference>
          <reference field="1" count="1" selected="0">
            <x v="10"/>
          </reference>
        </references>
      </pivotArea>
    </chartFormat>
    <chartFormat chart="7" format="6">
      <pivotArea type="data" outline="0" fieldPosition="0">
        <references count="2">
          <reference field="4294967294" count="1" selected="0">
            <x v="0"/>
          </reference>
          <reference field="1" count="1" selected="0">
            <x v="9"/>
          </reference>
        </references>
      </pivotArea>
    </chartFormat>
    <chartFormat chart="7" format="7">
      <pivotArea type="data" outline="0" fieldPosition="0">
        <references count="2">
          <reference field="4294967294" count="1" selected="0">
            <x v="0"/>
          </reference>
          <reference field="1" count="1" selected="0">
            <x v="8"/>
          </reference>
        </references>
      </pivotArea>
    </chartFormat>
    <chartFormat chart="7" format="8">
      <pivotArea type="data" outline="0" fieldPosition="0">
        <references count="2">
          <reference field="4294967294" count="1" selected="0">
            <x v="0"/>
          </reference>
          <reference field="1" count="1" selected="0">
            <x v="7"/>
          </reference>
        </references>
      </pivotArea>
    </chartFormat>
    <chartFormat chart="7" format="9">
      <pivotArea type="data" outline="0" fieldPosition="0">
        <references count="2">
          <reference field="4294967294" count="1" selected="0">
            <x v="0"/>
          </reference>
          <reference field="1" count="1" selected="0">
            <x v="5"/>
          </reference>
        </references>
      </pivotArea>
    </chartFormat>
    <chartFormat chart="7" format="10">
      <pivotArea type="data" outline="0" fieldPosition="0">
        <references count="2">
          <reference field="4294967294" count="1" selected="0">
            <x v="0"/>
          </reference>
          <reference field="1" count="1" selected="0">
            <x v="4"/>
          </reference>
        </references>
      </pivotArea>
    </chartFormat>
    <chartFormat chart="7" format="11">
      <pivotArea type="data" outline="0" fieldPosition="0">
        <references count="2">
          <reference field="4294967294" count="1" selected="0">
            <x v="0"/>
          </reference>
          <reference field="1"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2"/>
          </reference>
        </references>
      </pivotArea>
    </chartFormat>
    <chartFormat chart="7" format="14">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3"/>
          </reference>
        </references>
      </pivotArea>
    </chartFormat>
    <chartFormat chart="1" format="2">
      <pivotArea type="data" outline="0" fieldPosition="0">
        <references count="2">
          <reference field="4294967294" count="1" selected="0">
            <x v="0"/>
          </reference>
          <reference field="1" count="1" selected="0">
            <x v="5"/>
          </reference>
        </references>
      </pivotArea>
    </chartFormat>
    <chartFormat chart="1"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0A4C58-90FD-4541-A7DF-E625D59089A2}" autoFormatId="16" applyNumberFormats="0" applyBorderFormats="0" applyFontFormats="0" applyPatternFormats="0" applyAlignmentFormats="0" applyWidthHeightFormats="0">
  <queryTableRefresh nextId="16" unboundColumnsRight="5">
    <queryTableFields count="14">
      <queryTableField id="1" name="المنطقة" tableColumnId="1"/>
      <queryTableField id="2" name="الفئة العمرية" tableColumnId="2"/>
      <queryTableField id="3" name="أنثى - سعودي" tableColumnId="3"/>
      <queryTableField id="4" name="ذكر - سعودي" tableColumnId="4"/>
      <queryTableField id="5" name="سعودى الإجمالي" tableColumnId="5"/>
      <queryTableField id="6" name="انثى - غير سعودي" tableColumnId="6"/>
      <queryTableField id="7" name="ذكر - غير سعودي" tableColumnId="7"/>
      <queryTableField id="8" name="غير سعودى الإجمالي" tableColumnId="8"/>
      <queryTableField id="9" name="الإجمالي الكلي" tableColumnId="9"/>
      <queryTableField id="10" dataBound="0" tableColumnId="10"/>
      <queryTableField id="11" dataBound="0" tableColumnId="11"/>
      <queryTableField id="14" dataBound="0" tableColumnId="14"/>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ة" xr10:uid="{91FEB105-F2D6-774E-86F0-FCEC4800F2A3}" sourceName="المنطقة">
  <pivotTables>
    <pivotTable tabId="3" name="kpi"/>
    <pivotTable tabId="4" name="PivotTable4"/>
    <pivotTable tabId="5" name="PivotTable5"/>
    <pivotTable tabId="6" name="PivotTable6"/>
    <pivotTable tabId="3" name="PivotTable2"/>
  </pivotTables>
  <data>
    <tabular pivotCacheId="225272776">
      <items count="13">
        <i x="0" s="1"/>
        <i x="1" s="1"/>
        <i x="2" s="1"/>
        <i x="3" s="1"/>
        <i x="4" s="1"/>
        <i x="5" s="1"/>
        <i x="6" s="1"/>
        <i x="7" s="1"/>
        <i x="8" s="1"/>
        <i x="9" s="1"/>
        <i x="10" s="1"/>
        <i x="11"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فئة_العمرية" xr10:uid="{3C8BFE82-8C54-6540-AD1B-DF8F2F4280D2}" sourceName="الفئة العمرية">
  <pivotTables>
    <pivotTable tabId="3" name="kpi"/>
    <pivotTable tabId="4" name="PivotTable4"/>
    <pivotTable tabId="5" name="PivotTable5"/>
    <pivotTable tabId="6" name="PivotTable6"/>
    <pivotTable tabId="3" name="PivotTable2"/>
  </pivotTables>
  <data>
    <tabular pivotCacheId="225272776">
      <items count="11">
        <i x="2" s="1"/>
        <i x="3" s="1"/>
        <i x="4" s="1"/>
        <i x="5" s="1"/>
        <i x="6" s="1"/>
        <i x="7" s="1"/>
        <i x="8" s="1"/>
        <i x="9" s="1"/>
        <i x="10"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طقة" xr10:uid="{506ED1B3-DC51-434E-B9F9-053775797674}" cache="Slicer_المنطقة" caption="المنطقة" rowHeight="251883"/>
  <slicer name="الفئة العمرية" xr10:uid="{ED9A61FD-81F2-3941-94F7-28057FCD0E0B}" cache="Slicer_الفئة_العمرية" caption="الفئة العمرية"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طقة 1" xr10:uid="{E38EAE6A-7DFF-6E41-BBCE-4F842F89425E}" cache="Slicer_المنطقة" caption="المنطقة" columnCount="2" rowHeight="251883"/>
  <slicer name="الفئة العمرية 1" xr10:uid="{D4660BA4-5466-2046-9253-06B63F1E1EFB}" cache="Slicer_الفئة_العمرية" caption="الفئة العمرية"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2BF2DF-48E6-6944-9B07-40405F875A6A}" name="data" displayName="data" ref="A1:N144" tableType="queryTable" totalsRowShown="0" headerRowDxfId="567" dataDxfId="566">
  <autoFilter ref="A1:N144" xr:uid="{D82BF2DF-48E6-6944-9B07-40405F875A6A}"/>
  <tableColumns count="14">
    <tableColumn id="1" xr3:uid="{A22EDB49-3081-004A-B3E5-A2BB28BDD496}" uniqueName="1" name="المنطقة" queryTableFieldId="1" dataDxfId="581"/>
    <tableColumn id="2" xr3:uid="{9D3D95BC-BAE5-C04A-89F0-CA3334B49D50}" uniqueName="2" name="الفئة العمرية" queryTableFieldId="2" dataDxfId="580"/>
    <tableColumn id="3" xr3:uid="{08DA3121-F98E-564B-937C-6985EB630E9B}" uniqueName="3" name="أنثى - سعودي" queryTableFieldId="3" dataDxfId="579"/>
    <tableColumn id="4" xr3:uid="{D8CB08EF-36E9-2E46-AEA1-E47F3D3E0D35}" uniqueName="4" name="ذكر - سعودي" queryTableFieldId="4" dataDxfId="578"/>
    <tableColumn id="5" xr3:uid="{BCA8E281-3333-E041-A133-534FBC55FCD5}" uniqueName="5" name="سعودى الإجمالي" queryTableFieldId="5" dataDxfId="577"/>
    <tableColumn id="6" xr3:uid="{3E0646BD-0D5F-3A45-8970-D0F2D998C46A}" uniqueName="6" name="انثى - غير سعودي" queryTableFieldId="6" dataDxfId="576"/>
    <tableColumn id="7" xr3:uid="{DC95809A-F077-BA44-A296-E7BB93BC22EA}" uniqueName="7" name="ذكر - غير سعودي" queryTableFieldId="7" dataDxfId="575"/>
    <tableColumn id="8" xr3:uid="{F9E76798-EF7F-BF46-BB4D-4CA76EAD54C5}" uniqueName="8" name="غير سعودى الإجمالي" queryTableFieldId="8" dataDxfId="574"/>
    <tableColumn id="9" xr3:uid="{57DE9B90-BD9E-124F-A7D4-2F1973B9DED4}" uniqueName="9" name="الإجمالي الكلي" queryTableFieldId="9" dataDxfId="573"/>
    <tableColumn id="10" xr3:uid="{F3C1515B-C96F-2E44-BA16-424C75D15DF6}" uniqueName="10" name="معدل التوطين" queryTableFieldId="10" dataDxfId="572" dataCellStyle="Percent">
      <calculatedColumnFormula>data[[#This Row],[سعودى الإجمالي]]/data[[#This Row],[الإجمالي الكلي]]</calculatedColumnFormula>
    </tableColumn>
    <tableColumn id="11" xr3:uid="{9E430B7F-95F6-B240-8134-7F02374261B0}" uniqueName="11" name="نسبة تأنيث السعوديين" queryTableFieldId="11" dataDxfId="571" dataCellStyle="Percent">
      <calculatedColumnFormula>data[[#This Row],[أنثى - سعودي]]/data[[#This Row],[سعودى الإجمالي]]</calculatedColumnFormula>
    </tableColumn>
    <tableColumn id="14" xr3:uid="{BF105020-EC6D-C341-9E87-8B74AE476201}" uniqueName="14" name="نسبة الذكور السعوديين" queryTableFieldId="14" dataDxfId="570" dataCellStyle="Percent">
      <calculatedColumnFormula>data[[#This Row],[ذكر - سعودي]]/data[[#This Row],[سعودى الإجمالي]]</calculatedColumnFormula>
    </tableColumn>
    <tableColumn id="12" xr3:uid="{E7D8686C-4162-2644-8FBE-F0B0ADC91C0C}" uniqueName="12" name="اعتماد على الوافد" queryTableFieldId="12" dataDxfId="569" dataCellStyle="Percent">
      <calculatedColumnFormula>data[[#This Row],[غير سعودى الإجمالي]]/data[[#This Row],[الإجمالي الكلي]]</calculatedColumnFormula>
    </tableColumn>
    <tableColumn id="13" xr3:uid="{99CDA66B-63CE-7540-9B1E-D4428FA79D86}" uniqueName="13" name="نسبة الذكور الوافدين" queryTableFieldId="13" dataDxfId="568" dataCellStyle="Percent">
      <calculatedColumnFormula>data[[#This Row],[ذكر - غير سعودي]]/data[[#This Row],[غير سعودى الإجمالي]]</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Depth">
  <a:themeElements>
    <a:clrScheme name="Depth">
      <a:dk1>
        <a:sysClr val="windowText" lastClr="000000"/>
      </a:dk1>
      <a:lt1>
        <a:sysClr val="window" lastClr="FFFFFF"/>
      </a:lt1>
      <a:dk2>
        <a:srgbClr val="455F51"/>
      </a:dk2>
      <a:lt2>
        <a:srgbClr val="94D7E4"/>
      </a:lt2>
      <a:accent1>
        <a:srgbClr val="41AEBD"/>
      </a:accent1>
      <a:accent2>
        <a:srgbClr val="97E9D5"/>
      </a:accent2>
      <a:accent3>
        <a:srgbClr val="A2CF49"/>
      </a:accent3>
      <a:accent4>
        <a:srgbClr val="608F3D"/>
      </a:accent4>
      <a:accent5>
        <a:srgbClr val="F4DE3A"/>
      </a:accent5>
      <a:accent6>
        <a:srgbClr val="FCB11C"/>
      </a:accent6>
      <a:hlink>
        <a:srgbClr val="FBCA98"/>
      </a:hlink>
      <a:folHlink>
        <a:srgbClr val="D3B86D"/>
      </a:folHlink>
    </a:clrScheme>
    <a:fontScheme name="Depth">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epth">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Depth" id="{7BEAFC2A-325C-49C4-AC08-2B765DA903F9}" vid="{1735E755-43E6-43AA-ABA2-C989ECC79AF5}"/>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B1001-823E-3343-8AA1-93E78F56C52B}">
  <dimension ref="A1:N155"/>
  <sheetViews>
    <sheetView zoomScale="40" zoomScaleNormal="44" workbookViewId="0">
      <selection activeCell="D139" sqref="A2:N144"/>
    </sheetView>
  </sheetViews>
  <sheetFormatPr baseColWidth="10" defaultColWidth="17.1640625" defaultRowHeight="22" customHeight="1"/>
  <cols>
    <col min="1" max="1" width="22.83203125" style="16" bestFit="1" customWidth="1"/>
    <col min="2" max="2" width="18.5" style="16" bestFit="1" customWidth="1"/>
    <col min="3" max="3" width="20.33203125" style="16" bestFit="1" customWidth="1"/>
    <col min="4" max="4" width="19.33203125" style="16" bestFit="1" customWidth="1"/>
    <col min="5" max="5" width="23.6640625" style="16" bestFit="1" customWidth="1"/>
    <col min="6" max="6" width="24.1640625" style="16" bestFit="1" customWidth="1"/>
    <col min="7" max="7" width="23.1640625" style="16" bestFit="1" customWidth="1"/>
    <col min="8" max="8" width="27.33203125" style="16" bestFit="1" customWidth="1"/>
    <col min="9" max="9" width="21.6640625" style="16" bestFit="1" customWidth="1"/>
    <col min="10" max="10" width="19.33203125" style="17" bestFit="1" customWidth="1"/>
    <col min="11" max="11" width="28.1640625" style="17" bestFit="1" customWidth="1"/>
    <col min="12" max="12" width="29.1640625" style="17" bestFit="1" customWidth="1"/>
    <col min="13" max="13" width="23.5" style="17" bestFit="1" customWidth="1"/>
    <col min="14" max="14" width="26.6640625" style="16" bestFit="1" customWidth="1"/>
    <col min="15" max="16384" width="17.1640625" style="16"/>
  </cols>
  <sheetData>
    <row r="1" spans="1:14" ht="22" customHeight="1">
      <c r="A1" s="16" t="s">
        <v>0</v>
      </c>
      <c r="B1" s="16" t="s">
        <v>1</v>
      </c>
      <c r="C1" s="16" t="s">
        <v>2</v>
      </c>
      <c r="D1" s="16" t="s">
        <v>3</v>
      </c>
      <c r="E1" s="16" t="s">
        <v>4</v>
      </c>
      <c r="F1" s="16" t="s">
        <v>5</v>
      </c>
      <c r="G1" s="16" t="s">
        <v>6</v>
      </c>
      <c r="H1" s="16" t="s">
        <v>7</v>
      </c>
      <c r="I1" s="16" t="s">
        <v>8</v>
      </c>
      <c r="J1" s="17" t="s">
        <v>33</v>
      </c>
      <c r="K1" s="17" t="s">
        <v>34</v>
      </c>
      <c r="L1" s="16" t="s">
        <v>37</v>
      </c>
      <c r="M1" s="17" t="s">
        <v>35</v>
      </c>
      <c r="N1" s="17" t="s">
        <v>36</v>
      </c>
    </row>
    <row r="2" spans="1:14" ht="22" customHeight="1">
      <c r="A2" s="18" t="s">
        <v>9</v>
      </c>
      <c r="B2" s="18" t="s">
        <v>10</v>
      </c>
      <c r="C2" s="16">
        <v>66</v>
      </c>
      <c r="D2" s="16">
        <v>128</v>
      </c>
      <c r="E2" s="16">
        <v>194</v>
      </c>
      <c r="F2" s="16">
        <v>0</v>
      </c>
      <c r="G2" s="16">
        <v>61</v>
      </c>
      <c r="H2" s="16">
        <v>61</v>
      </c>
      <c r="I2" s="16">
        <v>255</v>
      </c>
      <c r="J2" s="17">
        <f>data[[#This Row],[سعودى الإجمالي]]/data[[#This Row],[الإجمالي الكلي]]</f>
        <v>0.76078431372549016</v>
      </c>
      <c r="K2" s="17">
        <f>data[[#This Row],[أنثى - سعودي]]/data[[#This Row],[سعودى الإجمالي]]</f>
        <v>0.34020618556701032</v>
      </c>
      <c r="L2" s="19">
        <f>data[[#This Row],[ذكر - سعودي]]/data[[#This Row],[سعودى الإجمالي]]</f>
        <v>0.65979381443298968</v>
      </c>
      <c r="M2" s="17">
        <f>data[[#This Row],[غير سعودى الإجمالي]]/data[[#This Row],[الإجمالي الكلي]]</f>
        <v>0.23921568627450981</v>
      </c>
      <c r="N2" s="19">
        <f>data[[#This Row],[ذكر - غير سعودي]]/data[[#This Row],[غير سعودى الإجمالي]]</f>
        <v>1</v>
      </c>
    </row>
    <row r="3" spans="1:14" ht="22" customHeight="1">
      <c r="A3" s="18" t="s">
        <v>9</v>
      </c>
      <c r="B3" s="18" t="s">
        <v>11</v>
      </c>
      <c r="C3" s="16">
        <v>16</v>
      </c>
      <c r="D3" s="16">
        <v>60</v>
      </c>
      <c r="E3" s="16">
        <v>76</v>
      </c>
      <c r="F3" s="16">
        <v>25</v>
      </c>
      <c r="G3" s="16">
        <v>883</v>
      </c>
      <c r="H3" s="16">
        <v>908</v>
      </c>
      <c r="I3" s="16">
        <v>984</v>
      </c>
      <c r="J3" s="17">
        <f>data[[#This Row],[سعودى الإجمالي]]/data[[#This Row],[الإجمالي الكلي]]</f>
        <v>7.7235772357723581E-2</v>
      </c>
      <c r="K3" s="17">
        <f>data[[#This Row],[أنثى - سعودي]]/data[[#This Row],[سعودى الإجمالي]]</f>
        <v>0.21052631578947367</v>
      </c>
      <c r="L3" s="19">
        <f>data[[#This Row],[ذكر - سعودي]]/data[[#This Row],[سعودى الإجمالي]]</f>
        <v>0.78947368421052633</v>
      </c>
      <c r="M3" s="17">
        <f>data[[#This Row],[غير سعودى الإجمالي]]/data[[#This Row],[الإجمالي الكلي]]</f>
        <v>0.92276422764227639</v>
      </c>
      <c r="N3" s="19">
        <f>data[[#This Row],[ذكر - غير سعودي]]/data[[#This Row],[غير سعودى الإجمالي]]</f>
        <v>0.97246696035242286</v>
      </c>
    </row>
    <row r="4" spans="1:14" ht="22" customHeight="1">
      <c r="A4" s="18" t="s">
        <v>9</v>
      </c>
      <c r="B4" s="18" t="s">
        <v>12</v>
      </c>
      <c r="C4" s="16">
        <v>405</v>
      </c>
      <c r="D4" s="16">
        <v>930</v>
      </c>
      <c r="E4" s="16">
        <v>1335</v>
      </c>
      <c r="F4" s="16">
        <v>35</v>
      </c>
      <c r="G4" s="16">
        <v>2063</v>
      </c>
      <c r="H4" s="16">
        <v>2098</v>
      </c>
      <c r="I4" s="16">
        <v>3433</v>
      </c>
      <c r="J4" s="17">
        <f>data[[#This Row],[سعودى الإجمالي]]/data[[#This Row],[الإجمالي الكلي]]</f>
        <v>0.3888727060879697</v>
      </c>
      <c r="K4" s="17">
        <f>data[[#This Row],[أنثى - سعودي]]/data[[#This Row],[سعودى الإجمالي]]</f>
        <v>0.30337078651685395</v>
      </c>
      <c r="L4" s="19">
        <f>data[[#This Row],[ذكر - سعودي]]/data[[#This Row],[سعودى الإجمالي]]</f>
        <v>0.6966292134831461</v>
      </c>
      <c r="M4" s="17">
        <f>data[[#This Row],[غير سعودى الإجمالي]]/data[[#This Row],[الإجمالي الكلي]]</f>
        <v>0.61112729391203024</v>
      </c>
      <c r="N4" s="19">
        <f>data[[#This Row],[ذكر - غير سعودي]]/data[[#This Row],[غير سعودى الإجمالي]]</f>
        <v>0.98331744518589137</v>
      </c>
    </row>
    <row r="5" spans="1:14" ht="22" customHeight="1">
      <c r="A5" s="18" t="s">
        <v>9</v>
      </c>
      <c r="B5" s="18" t="s">
        <v>13</v>
      </c>
      <c r="C5" s="16">
        <v>631</v>
      </c>
      <c r="D5" s="16">
        <v>768</v>
      </c>
      <c r="E5" s="16">
        <v>1399</v>
      </c>
      <c r="F5" s="16">
        <v>125</v>
      </c>
      <c r="G5" s="16">
        <v>5608</v>
      </c>
      <c r="H5" s="16">
        <v>5733</v>
      </c>
      <c r="I5" s="16">
        <v>7132</v>
      </c>
      <c r="J5" s="17">
        <f>data[[#This Row],[سعودى الإجمالي]]/data[[#This Row],[الإجمالي الكلي]]</f>
        <v>0.19615816040381379</v>
      </c>
      <c r="K5" s="17">
        <f>data[[#This Row],[أنثى - سعودي]]/data[[#This Row],[سعودى الإجمالي]]</f>
        <v>0.45103645461043601</v>
      </c>
      <c r="L5" s="19">
        <f>data[[#This Row],[ذكر - سعودي]]/data[[#This Row],[سعودى الإجمالي]]</f>
        <v>0.54896354538956393</v>
      </c>
      <c r="M5" s="17">
        <f>data[[#This Row],[غير سعودى الإجمالي]]/data[[#This Row],[الإجمالي الكلي]]</f>
        <v>0.80384183959618616</v>
      </c>
      <c r="N5" s="19">
        <f>data[[#This Row],[ذكر - غير سعودي]]/data[[#This Row],[غير سعودى الإجمالي]]</f>
        <v>0.97819640676783537</v>
      </c>
    </row>
    <row r="6" spans="1:14" ht="22" customHeight="1">
      <c r="A6" s="18" t="s">
        <v>9</v>
      </c>
      <c r="B6" s="18" t="s">
        <v>14</v>
      </c>
      <c r="C6" s="16">
        <v>555</v>
      </c>
      <c r="D6" s="16">
        <v>551</v>
      </c>
      <c r="E6" s="16">
        <v>1106</v>
      </c>
      <c r="F6" s="16">
        <v>140</v>
      </c>
      <c r="G6" s="16">
        <v>6177</v>
      </c>
      <c r="H6" s="16">
        <v>6317</v>
      </c>
      <c r="I6" s="16">
        <v>7423</v>
      </c>
      <c r="J6" s="17">
        <f>data[[#This Row],[سعودى الإجمالي]]/data[[#This Row],[الإجمالي الكلي]]</f>
        <v>0.14899636265660784</v>
      </c>
      <c r="K6" s="17">
        <f>data[[#This Row],[أنثى - سعودي]]/data[[#This Row],[سعودى الإجمالي]]</f>
        <v>0.50180831826401451</v>
      </c>
      <c r="L6" s="19">
        <f>data[[#This Row],[ذكر - سعودي]]/data[[#This Row],[سعودى الإجمالي]]</f>
        <v>0.49819168173598555</v>
      </c>
      <c r="M6" s="17">
        <f>data[[#This Row],[غير سعودى الإجمالي]]/data[[#This Row],[الإجمالي الكلي]]</f>
        <v>0.85100363734339213</v>
      </c>
      <c r="N6" s="19">
        <f>data[[#This Row],[ذكر - غير سعودي]]/data[[#This Row],[غير سعودى الإجمالي]]</f>
        <v>0.97783758113028341</v>
      </c>
    </row>
    <row r="7" spans="1:14" ht="22" customHeight="1">
      <c r="A7" s="18" t="s">
        <v>9</v>
      </c>
      <c r="B7" s="18" t="s">
        <v>15</v>
      </c>
      <c r="C7" s="16">
        <v>375</v>
      </c>
      <c r="D7" s="16">
        <v>340</v>
      </c>
      <c r="E7" s="16">
        <v>715</v>
      </c>
      <c r="F7" s="16">
        <v>153</v>
      </c>
      <c r="G7" s="16">
        <v>7004</v>
      </c>
      <c r="H7" s="16">
        <v>7157</v>
      </c>
      <c r="I7" s="16">
        <v>7872</v>
      </c>
      <c r="J7" s="17">
        <f>data[[#This Row],[سعودى الإجمالي]]/data[[#This Row],[الإجمالي الكلي]]</f>
        <v>9.0828252032520332E-2</v>
      </c>
      <c r="K7" s="17">
        <f>data[[#This Row],[أنثى - سعودي]]/data[[#This Row],[سعودى الإجمالي]]</f>
        <v>0.52447552447552448</v>
      </c>
      <c r="L7" s="19">
        <f>data[[#This Row],[ذكر - سعودي]]/data[[#This Row],[سعودى الإجمالي]]</f>
        <v>0.47552447552447552</v>
      </c>
      <c r="M7" s="17">
        <f>data[[#This Row],[غير سعودى الإجمالي]]/data[[#This Row],[الإجمالي الكلي]]</f>
        <v>0.90917174796747968</v>
      </c>
      <c r="N7" s="19">
        <f>data[[#This Row],[ذكر - غير سعودي]]/data[[#This Row],[غير سعودى الإجمالي]]</f>
        <v>0.97862232779097391</v>
      </c>
    </row>
    <row r="8" spans="1:14" ht="22" customHeight="1">
      <c r="A8" s="18" t="s">
        <v>9</v>
      </c>
      <c r="B8" s="18" t="s">
        <v>16</v>
      </c>
      <c r="C8" s="16">
        <v>329</v>
      </c>
      <c r="D8" s="16">
        <v>210</v>
      </c>
      <c r="E8" s="16">
        <v>539</v>
      </c>
      <c r="F8" s="16">
        <v>117</v>
      </c>
      <c r="G8" s="16">
        <v>6179</v>
      </c>
      <c r="H8" s="16">
        <v>6296</v>
      </c>
      <c r="I8" s="16">
        <v>6835</v>
      </c>
      <c r="J8" s="17">
        <f>data[[#This Row],[سعودى الإجمالي]]/data[[#This Row],[الإجمالي الكلي]]</f>
        <v>7.8858814923189469E-2</v>
      </c>
      <c r="K8" s="17">
        <f>data[[#This Row],[أنثى - سعودي]]/data[[#This Row],[سعودى الإجمالي]]</f>
        <v>0.61038961038961037</v>
      </c>
      <c r="L8" s="19">
        <f>data[[#This Row],[ذكر - سعودي]]/data[[#This Row],[سعودى الإجمالي]]</f>
        <v>0.38961038961038963</v>
      </c>
      <c r="M8" s="17">
        <f>data[[#This Row],[غير سعودى الإجمالي]]/data[[#This Row],[الإجمالي الكلي]]</f>
        <v>0.92114118507681053</v>
      </c>
      <c r="N8" s="19">
        <f>data[[#This Row],[ذكر - غير سعودي]]/data[[#This Row],[غير سعودى الإجمالي]]</f>
        <v>0.9814167725540025</v>
      </c>
    </row>
    <row r="9" spans="1:14" ht="22" customHeight="1">
      <c r="A9" s="18" t="s">
        <v>9</v>
      </c>
      <c r="B9" s="18" t="s">
        <v>17</v>
      </c>
      <c r="C9" s="16">
        <v>186</v>
      </c>
      <c r="D9" s="16">
        <v>157</v>
      </c>
      <c r="E9" s="16">
        <v>343</v>
      </c>
      <c r="F9" s="16">
        <v>96</v>
      </c>
      <c r="G9" s="16">
        <v>4764</v>
      </c>
      <c r="H9" s="16">
        <v>4860</v>
      </c>
      <c r="I9" s="16">
        <v>5203</v>
      </c>
      <c r="J9" s="17">
        <f>data[[#This Row],[سعودى الإجمالي]]/data[[#This Row],[الإجمالي الكلي]]</f>
        <v>6.5923505669805885E-2</v>
      </c>
      <c r="K9" s="17">
        <f>data[[#This Row],[أنثى - سعودي]]/data[[#This Row],[سعودى الإجمالي]]</f>
        <v>0.54227405247813409</v>
      </c>
      <c r="L9" s="19">
        <f>data[[#This Row],[ذكر - سعودي]]/data[[#This Row],[سعودى الإجمالي]]</f>
        <v>0.45772594752186591</v>
      </c>
      <c r="M9" s="17">
        <f>data[[#This Row],[غير سعودى الإجمالي]]/data[[#This Row],[الإجمالي الكلي]]</f>
        <v>0.93407649433019413</v>
      </c>
      <c r="N9" s="19">
        <f>data[[#This Row],[ذكر - غير سعودي]]/data[[#This Row],[غير سعودى الإجمالي]]</f>
        <v>0.98024691358024696</v>
      </c>
    </row>
    <row r="10" spans="1:14" ht="22" customHeight="1">
      <c r="A10" s="18" t="s">
        <v>9</v>
      </c>
      <c r="B10" s="18" t="s">
        <v>18</v>
      </c>
      <c r="C10" s="16">
        <v>137</v>
      </c>
      <c r="D10" s="16">
        <v>122</v>
      </c>
      <c r="E10" s="16">
        <v>259</v>
      </c>
      <c r="F10" s="16">
        <v>53</v>
      </c>
      <c r="G10" s="16">
        <v>3156</v>
      </c>
      <c r="H10" s="16">
        <v>3209</v>
      </c>
      <c r="I10" s="16">
        <v>3468</v>
      </c>
      <c r="J10" s="17">
        <f>data[[#This Row],[سعودى الإجمالي]]/data[[#This Row],[الإجمالي الكلي]]</f>
        <v>7.4682814302191466E-2</v>
      </c>
      <c r="K10" s="17">
        <f>data[[#This Row],[أنثى - سعودي]]/data[[#This Row],[سعودى الإجمالي]]</f>
        <v>0.52895752895752901</v>
      </c>
      <c r="L10" s="19">
        <f>data[[#This Row],[ذكر - سعودي]]/data[[#This Row],[سعودى الإجمالي]]</f>
        <v>0.47104247104247104</v>
      </c>
      <c r="M10" s="17">
        <f>data[[#This Row],[غير سعودى الإجمالي]]/data[[#This Row],[الإجمالي الكلي]]</f>
        <v>0.92531718569780852</v>
      </c>
      <c r="N10" s="19">
        <f>data[[#This Row],[ذكر - غير سعودي]]/data[[#This Row],[غير سعودى الإجمالي]]</f>
        <v>0.98348395138672484</v>
      </c>
    </row>
    <row r="11" spans="1:14" ht="22" customHeight="1">
      <c r="A11" s="18" t="s">
        <v>9</v>
      </c>
      <c r="B11" s="18" t="s">
        <v>19</v>
      </c>
      <c r="C11" s="16">
        <v>120</v>
      </c>
      <c r="D11" s="16">
        <v>189</v>
      </c>
      <c r="E11" s="16">
        <v>309</v>
      </c>
      <c r="F11" s="16">
        <v>38</v>
      </c>
      <c r="G11" s="16">
        <v>2351</v>
      </c>
      <c r="H11" s="16">
        <v>2389</v>
      </c>
      <c r="I11" s="16">
        <v>2698</v>
      </c>
      <c r="J11" s="17">
        <f>data[[#This Row],[سعودى الإجمالي]]/data[[#This Row],[الإجمالي الكلي]]</f>
        <v>0.11452928094885099</v>
      </c>
      <c r="K11" s="17">
        <f>data[[#This Row],[أنثى - سعودي]]/data[[#This Row],[سعودى الإجمالي]]</f>
        <v>0.38834951456310679</v>
      </c>
      <c r="L11" s="19">
        <f>data[[#This Row],[ذكر - سعودي]]/data[[#This Row],[سعودى الإجمالي]]</f>
        <v>0.61165048543689315</v>
      </c>
      <c r="M11" s="17">
        <f>data[[#This Row],[غير سعودى الإجمالي]]/data[[#This Row],[الإجمالي الكلي]]</f>
        <v>0.88547071905114905</v>
      </c>
      <c r="N11" s="19">
        <f>data[[#This Row],[ذكر - غير سعودي]]/data[[#This Row],[غير سعودى الإجمالي]]</f>
        <v>0.98409376308078689</v>
      </c>
    </row>
    <row r="12" spans="1:14" ht="22" customHeight="1">
      <c r="A12" s="18" t="s">
        <v>9</v>
      </c>
      <c r="B12" s="18" t="s">
        <v>20</v>
      </c>
      <c r="C12" s="16">
        <v>43</v>
      </c>
      <c r="D12" s="16">
        <v>97</v>
      </c>
      <c r="E12" s="16">
        <v>140</v>
      </c>
      <c r="F12" s="16">
        <v>27</v>
      </c>
      <c r="G12" s="16">
        <v>1399</v>
      </c>
      <c r="H12" s="16">
        <v>1426</v>
      </c>
      <c r="I12" s="16">
        <v>1566</v>
      </c>
      <c r="J12" s="17">
        <f>data[[#This Row],[سعودى الإجمالي]]/data[[#This Row],[الإجمالي الكلي]]</f>
        <v>8.9399744572158366E-2</v>
      </c>
      <c r="K12" s="17">
        <f>data[[#This Row],[أنثى - سعودي]]/data[[#This Row],[سعودى الإجمالي]]</f>
        <v>0.30714285714285716</v>
      </c>
      <c r="L12" s="19">
        <f>data[[#This Row],[ذكر - سعودي]]/data[[#This Row],[سعودى الإجمالي]]</f>
        <v>0.69285714285714284</v>
      </c>
      <c r="M12" s="17">
        <f>data[[#This Row],[غير سعودى الإجمالي]]/data[[#This Row],[الإجمالي الكلي]]</f>
        <v>0.91060025542784162</v>
      </c>
      <c r="N12" s="19">
        <f>data[[#This Row],[ذكر - غير سعودي]]/data[[#This Row],[غير سعودى الإجمالي]]</f>
        <v>0.9810659186535764</v>
      </c>
    </row>
    <row r="13" spans="1:14" ht="22" customHeight="1">
      <c r="A13" s="18" t="s">
        <v>21</v>
      </c>
      <c r="B13" s="18" t="s">
        <v>10</v>
      </c>
      <c r="C13" s="16">
        <v>82</v>
      </c>
      <c r="D13" s="16">
        <v>267</v>
      </c>
      <c r="E13" s="16">
        <v>349</v>
      </c>
      <c r="F13" s="16">
        <v>0</v>
      </c>
      <c r="G13" s="16">
        <v>7</v>
      </c>
      <c r="H13" s="16">
        <v>7</v>
      </c>
      <c r="I13" s="16">
        <v>356</v>
      </c>
      <c r="J13" s="17">
        <f>data[[#This Row],[سعودى الإجمالي]]/data[[#This Row],[الإجمالي الكلي]]</f>
        <v>0.9803370786516854</v>
      </c>
      <c r="K13" s="17">
        <f>data[[#This Row],[أنثى - سعودي]]/data[[#This Row],[سعودى الإجمالي]]</f>
        <v>0.23495702005730659</v>
      </c>
      <c r="L13" s="19">
        <f>data[[#This Row],[ذكر - سعودي]]/data[[#This Row],[سعودى الإجمالي]]</f>
        <v>0.76504297994269344</v>
      </c>
      <c r="M13" s="17">
        <f>data[[#This Row],[غير سعودى الإجمالي]]/data[[#This Row],[الإجمالي الكلي]]</f>
        <v>1.9662921348314606E-2</v>
      </c>
      <c r="N13" s="19">
        <f>data[[#This Row],[ذكر - غير سعودي]]/data[[#This Row],[غير سعودى الإجمالي]]</f>
        <v>1</v>
      </c>
    </row>
    <row r="14" spans="1:14" ht="22" customHeight="1">
      <c r="A14" s="18" t="s">
        <v>21</v>
      </c>
      <c r="B14" s="18" t="s">
        <v>11</v>
      </c>
      <c r="C14" s="16">
        <v>22</v>
      </c>
      <c r="D14" s="16">
        <v>45</v>
      </c>
      <c r="E14" s="16">
        <v>67</v>
      </c>
      <c r="F14" s="16">
        <v>28</v>
      </c>
      <c r="G14" s="16">
        <v>1500</v>
      </c>
      <c r="H14" s="16">
        <v>1528</v>
      </c>
      <c r="I14" s="16">
        <v>1595</v>
      </c>
      <c r="J14" s="17">
        <f>data[[#This Row],[سعودى الإجمالي]]/data[[#This Row],[الإجمالي الكلي]]</f>
        <v>4.200626959247649E-2</v>
      </c>
      <c r="K14" s="17">
        <f>data[[#This Row],[أنثى - سعودي]]/data[[#This Row],[سعودى الإجمالي]]</f>
        <v>0.32835820895522388</v>
      </c>
      <c r="L14" s="19">
        <f>data[[#This Row],[ذكر - سعودي]]/data[[#This Row],[سعودى الإجمالي]]</f>
        <v>0.67164179104477617</v>
      </c>
      <c r="M14" s="17">
        <f>data[[#This Row],[غير سعودى الإجمالي]]/data[[#This Row],[الإجمالي الكلي]]</f>
        <v>0.95799373040752356</v>
      </c>
      <c r="N14" s="19">
        <f>data[[#This Row],[ذكر - غير سعودي]]/data[[#This Row],[غير سعودى الإجمالي]]</f>
        <v>0.98167539267015702</v>
      </c>
    </row>
    <row r="15" spans="1:14" ht="22" customHeight="1">
      <c r="A15" s="18" t="s">
        <v>21</v>
      </c>
      <c r="B15" s="18" t="s">
        <v>12</v>
      </c>
      <c r="C15" s="16">
        <v>672</v>
      </c>
      <c r="D15" s="16">
        <v>1529</v>
      </c>
      <c r="E15" s="16">
        <v>2201</v>
      </c>
      <c r="F15" s="16">
        <v>168</v>
      </c>
      <c r="G15" s="16">
        <v>2877</v>
      </c>
      <c r="H15" s="16">
        <v>3045</v>
      </c>
      <c r="I15" s="16">
        <v>5246</v>
      </c>
      <c r="J15" s="17">
        <f>data[[#This Row],[سعودى الإجمالي]]/data[[#This Row],[الإجمالي الكلي]]</f>
        <v>0.41955775829203201</v>
      </c>
      <c r="K15" s="17">
        <f>data[[#This Row],[أنثى - سعودي]]/data[[#This Row],[سعودى الإجمالي]]</f>
        <v>0.30531576556110857</v>
      </c>
      <c r="L15" s="19">
        <f>data[[#This Row],[ذكر - سعودي]]/data[[#This Row],[سعودى الإجمالي]]</f>
        <v>0.69468423443889138</v>
      </c>
      <c r="M15" s="17">
        <f>data[[#This Row],[غير سعودى الإجمالي]]/data[[#This Row],[الإجمالي الكلي]]</f>
        <v>0.58044224170796799</v>
      </c>
      <c r="N15" s="19">
        <f>data[[#This Row],[ذكر - غير سعودي]]/data[[#This Row],[غير سعودى الإجمالي]]</f>
        <v>0.94482758620689655</v>
      </c>
    </row>
    <row r="16" spans="1:14" ht="22" customHeight="1">
      <c r="A16" s="18" t="s">
        <v>21</v>
      </c>
      <c r="B16" s="18" t="s">
        <v>13</v>
      </c>
      <c r="C16" s="16">
        <v>1248</v>
      </c>
      <c r="D16" s="16">
        <v>1399</v>
      </c>
      <c r="E16" s="16">
        <v>2647</v>
      </c>
      <c r="F16" s="16">
        <v>342</v>
      </c>
      <c r="G16" s="16">
        <v>9659</v>
      </c>
      <c r="H16" s="16">
        <v>10001</v>
      </c>
      <c r="I16" s="16">
        <v>12648</v>
      </c>
      <c r="J16" s="17">
        <f>data[[#This Row],[سعودى الإجمالي]]/data[[#This Row],[الإجمالي الكلي]]</f>
        <v>0.2092820999367489</v>
      </c>
      <c r="K16" s="17">
        <f>data[[#This Row],[أنثى - سعودي]]/data[[#This Row],[سعودى الإجمالي]]</f>
        <v>0.47147714393653195</v>
      </c>
      <c r="L16" s="19">
        <f>data[[#This Row],[ذكر - سعودي]]/data[[#This Row],[سعودى الإجمالي]]</f>
        <v>0.52852285606346805</v>
      </c>
      <c r="M16" s="17">
        <f>data[[#This Row],[غير سعودى الإجمالي]]/data[[#This Row],[الإجمالي الكلي]]</f>
        <v>0.79071790006325116</v>
      </c>
      <c r="N16" s="19">
        <f>data[[#This Row],[ذكر - غير سعودي]]/data[[#This Row],[غير سعودى الإجمالي]]</f>
        <v>0.96580341965803418</v>
      </c>
    </row>
    <row r="17" spans="1:14" ht="22" customHeight="1">
      <c r="A17" s="18" t="s">
        <v>21</v>
      </c>
      <c r="B17" s="18" t="s">
        <v>14</v>
      </c>
      <c r="C17" s="16">
        <v>1013</v>
      </c>
      <c r="D17" s="16">
        <v>968</v>
      </c>
      <c r="E17" s="16">
        <v>1981</v>
      </c>
      <c r="F17" s="16">
        <v>348</v>
      </c>
      <c r="G17" s="16">
        <v>9887</v>
      </c>
      <c r="H17" s="16">
        <v>10235</v>
      </c>
      <c r="I17" s="16">
        <v>12216</v>
      </c>
      <c r="J17" s="17">
        <f>data[[#This Row],[سعودى الإجمالي]]/data[[#This Row],[الإجمالي الكلي]]</f>
        <v>0.16216437459070071</v>
      </c>
      <c r="K17" s="17">
        <f>data[[#This Row],[أنثى - سعودي]]/data[[#This Row],[سعودى الإجمالي]]</f>
        <v>0.51135790005047954</v>
      </c>
      <c r="L17" s="19">
        <f>data[[#This Row],[ذكر - سعودي]]/data[[#This Row],[سعودى الإجمالي]]</f>
        <v>0.48864209994952046</v>
      </c>
      <c r="M17" s="17">
        <f>data[[#This Row],[غير سعودى الإجمالي]]/data[[#This Row],[الإجمالي الكلي]]</f>
        <v>0.83783562540929923</v>
      </c>
      <c r="N17" s="19">
        <f>data[[#This Row],[ذكر - غير سعودي]]/data[[#This Row],[غير سعودى الإجمالي]]</f>
        <v>0.96599902296042994</v>
      </c>
    </row>
    <row r="18" spans="1:14" ht="22" customHeight="1">
      <c r="A18" s="18" t="s">
        <v>21</v>
      </c>
      <c r="B18" s="18" t="s">
        <v>15</v>
      </c>
      <c r="C18" s="16">
        <v>607</v>
      </c>
      <c r="D18" s="16">
        <v>520</v>
      </c>
      <c r="E18" s="16">
        <v>1127</v>
      </c>
      <c r="F18" s="16">
        <v>382</v>
      </c>
      <c r="G18" s="16">
        <v>12621</v>
      </c>
      <c r="H18" s="16">
        <v>13003</v>
      </c>
      <c r="I18" s="16">
        <v>14130</v>
      </c>
      <c r="J18" s="17">
        <f>data[[#This Row],[سعودى الإجمالي]]/data[[#This Row],[الإجمالي الكلي]]</f>
        <v>7.9759377211606516E-2</v>
      </c>
      <c r="K18" s="17">
        <f>data[[#This Row],[أنثى - سعودي]]/data[[#This Row],[سعودى الإجمالي]]</f>
        <v>0.53859804791481813</v>
      </c>
      <c r="L18" s="19">
        <f>data[[#This Row],[ذكر - سعودي]]/data[[#This Row],[سعودى الإجمالي]]</f>
        <v>0.46140195208518192</v>
      </c>
      <c r="M18" s="17">
        <f>data[[#This Row],[غير سعودى الإجمالي]]/data[[#This Row],[الإجمالي الكلي]]</f>
        <v>0.92024062278839347</v>
      </c>
      <c r="N18" s="19">
        <f>data[[#This Row],[ذكر - غير سعودي]]/data[[#This Row],[غير سعودى الإجمالي]]</f>
        <v>0.97062216411597324</v>
      </c>
    </row>
    <row r="19" spans="1:14" ht="22" customHeight="1">
      <c r="A19" s="18" t="s">
        <v>21</v>
      </c>
      <c r="B19" s="18" t="s">
        <v>16</v>
      </c>
      <c r="C19" s="16">
        <v>450</v>
      </c>
      <c r="D19" s="16">
        <v>330</v>
      </c>
      <c r="E19" s="16">
        <v>780</v>
      </c>
      <c r="F19" s="16">
        <v>263</v>
      </c>
      <c r="G19" s="16">
        <v>11060</v>
      </c>
      <c r="H19" s="16">
        <v>11323</v>
      </c>
      <c r="I19" s="16">
        <v>12103</v>
      </c>
      <c r="J19" s="17">
        <f>data[[#This Row],[سعودى الإجمالي]]/data[[#This Row],[الإجمالي الكلي]]</f>
        <v>6.4446831364124602E-2</v>
      </c>
      <c r="K19" s="17">
        <f>data[[#This Row],[أنثى - سعودي]]/data[[#This Row],[سعودى الإجمالي]]</f>
        <v>0.57692307692307687</v>
      </c>
      <c r="L19" s="19">
        <f>data[[#This Row],[ذكر - سعودي]]/data[[#This Row],[سعودى الإجمالي]]</f>
        <v>0.42307692307692307</v>
      </c>
      <c r="M19" s="17">
        <f>data[[#This Row],[غير سعودى الإجمالي]]/data[[#This Row],[الإجمالي الكلي]]</f>
        <v>0.93555316863587545</v>
      </c>
      <c r="N19" s="19">
        <f>data[[#This Row],[ذكر - غير سعودي]]/data[[#This Row],[غير سعودى الإجمالي]]</f>
        <v>0.97677294003355997</v>
      </c>
    </row>
    <row r="20" spans="1:14" ht="22" customHeight="1">
      <c r="A20" s="18" t="s">
        <v>21</v>
      </c>
      <c r="B20" s="18" t="s">
        <v>17</v>
      </c>
      <c r="C20" s="16">
        <v>231</v>
      </c>
      <c r="D20" s="16">
        <v>196</v>
      </c>
      <c r="E20" s="16">
        <v>427</v>
      </c>
      <c r="F20" s="16">
        <v>164</v>
      </c>
      <c r="G20" s="16">
        <v>8405</v>
      </c>
      <c r="H20" s="16">
        <v>8569</v>
      </c>
      <c r="I20" s="16">
        <v>8996</v>
      </c>
      <c r="J20" s="17">
        <f>data[[#This Row],[سعودى الإجمالي]]/data[[#This Row],[الإجمالي الكلي]]</f>
        <v>4.7465540240106713E-2</v>
      </c>
      <c r="K20" s="17">
        <f>data[[#This Row],[أنثى - سعودي]]/data[[#This Row],[سعودى الإجمالي]]</f>
        <v>0.54098360655737709</v>
      </c>
      <c r="L20" s="19">
        <f>data[[#This Row],[ذكر - سعودي]]/data[[#This Row],[سعودى الإجمالي]]</f>
        <v>0.45901639344262296</v>
      </c>
      <c r="M20" s="17">
        <f>data[[#This Row],[غير سعودى الإجمالي]]/data[[#This Row],[الإجمالي الكلي]]</f>
        <v>0.95253445975989326</v>
      </c>
      <c r="N20" s="19">
        <f>data[[#This Row],[ذكر - غير سعودي]]/data[[#This Row],[غير سعودى الإجمالي]]</f>
        <v>0.98086124401913877</v>
      </c>
    </row>
    <row r="21" spans="1:14" ht="22" customHeight="1">
      <c r="A21" s="18" t="s">
        <v>21</v>
      </c>
      <c r="B21" s="18" t="s">
        <v>18</v>
      </c>
      <c r="C21" s="16">
        <v>120</v>
      </c>
      <c r="D21" s="16">
        <v>144</v>
      </c>
      <c r="E21" s="16">
        <v>264</v>
      </c>
      <c r="F21" s="16">
        <v>88</v>
      </c>
      <c r="G21" s="16">
        <v>5160</v>
      </c>
      <c r="H21" s="16">
        <v>5248</v>
      </c>
      <c r="I21" s="16">
        <v>5512</v>
      </c>
      <c r="J21" s="17">
        <f>data[[#This Row],[سعودى الإجمالي]]/data[[#This Row],[الإجمالي الكلي]]</f>
        <v>4.7895500725689405E-2</v>
      </c>
      <c r="K21" s="17">
        <f>data[[#This Row],[أنثى - سعودي]]/data[[#This Row],[سعودى الإجمالي]]</f>
        <v>0.45454545454545453</v>
      </c>
      <c r="L21" s="19">
        <f>data[[#This Row],[ذكر - سعودي]]/data[[#This Row],[سعودى الإجمالي]]</f>
        <v>0.54545454545454541</v>
      </c>
      <c r="M21" s="17">
        <f>data[[#This Row],[غير سعودى الإجمالي]]/data[[#This Row],[الإجمالي الكلي]]</f>
        <v>0.95210449927431062</v>
      </c>
      <c r="N21" s="19">
        <f>data[[#This Row],[ذكر - غير سعودي]]/data[[#This Row],[غير سعودى الإجمالي]]</f>
        <v>0.98323170731707321</v>
      </c>
    </row>
    <row r="22" spans="1:14" ht="22" customHeight="1">
      <c r="A22" s="18" t="s">
        <v>21</v>
      </c>
      <c r="B22" s="18" t="s">
        <v>19</v>
      </c>
      <c r="C22" s="16">
        <v>104</v>
      </c>
      <c r="D22" s="16">
        <v>172</v>
      </c>
      <c r="E22" s="16">
        <v>276</v>
      </c>
      <c r="F22" s="16">
        <v>46</v>
      </c>
      <c r="G22" s="16">
        <v>3753</v>
      </c>
      <c r="H22" s="16">
        <v>3799</v>
      </c>
      <c r="I22" s="16">
        <v>4075</v>
      </c>
      <c r="J22" s="17">
        <f>data[[#This Row],[سعودى الإجمالي]]/data[[#This Row],[الإجمالي الكلي]]</f>
        <v>6.7730061349693255E-2</v>
      </c>
      <c r="K22" s="17">
        <f>data[[#This Row],[أنثى - سعودي]]/data[[#This Row],[سعودى الإجمالي]]</f>
        <v>0.37681159420289856</v>
      </c>
      <c r="L22" s="19">
        <f>data[[#This Row],[ذكر - سعودي]]/data[[#This Row],[سعودى الإجمالي]]</f>
        <v>0.62318840579710144</v>
      </c>
      <c r="M22" s="17">
        <f>data[[#This Row],[غير سعودى الإجمالي]]/data[[#This Row],[الإجمالي الكلي]]</f>
        <v>0.93226993865030672</v>
      </c>
      <c r="N22" s="19">
        <f>data[[#This Row],[ذكر - غير سعودي]]/data[[#This Row],[غير سعودى الإجمالي]]</f>
        <v>0.98789155040800214</v>
      </c>
    </row>
    <row r="23" spans="1:14" ht="22" customHeight="1">
      <c r="A23" s="18" t="s">
        <v>21</v>
      </c>
      <c r="B23" s="18" t="s">
        <v>20</v>
      </c>
      <c r="C23" s="16">
        <v>54</v>
      </c>
      <c r="D23" s="16">
        <v>74</v>
      </c>
      <c r="E23" s="16">
        <v>128</v>
      </c>
      <c r="F23" s="16">
        <v>23</v>
      </c>
      <c r="G23" s="16">
        <v>2194</v>
      </c>
      <c r="H23" s="16">
        <v>2217</v>
      </c>
      <c r="I23" s="16">
        <v>2345</v>
      </c>
      <c r="J23" s="17">
        <f>data[[#This Row],[سعودى الإجمالي]]/data[[#This Row],[الإجمالي الكلي]]</f>
        <v>5.458422174840085E-2</v>
      </c>
      <c r="K23" s="17">
        <f>data[[#This Row],[أنثى - سعودي]]/data[[#This Row],[سعودى الإجمالي]]</f>
        <v>0.421875</v>
      </c>
      <c r="L23" s="19">
        <f>data[[#This Row],[ذكر - سعودي]]/data[[#This Row],[سعودى الإجمالي]]</f>
        <v>0.578125</v>
      </c>
      <c r="M23" s="17">
        <f>data[[#This Row],[غير سعودى الإجمالي]]/data[[#This Row],[الإجمالي الكلي]]</f>
        <v>0.94541577825159917</v>
      </c>
      <c r="N23" s="19">
        <f>data[[#This Row],[ذكر - غير سعودي]]/data[[#This Row],[غير سعودى الإجمالي]]</f>
        <v>0.98962562020748757</v>
      </c>
    </row>
    <row r="24" spans="1:14" ht="22" customHeight="1">
      <c r="A24" s="18" t="s">
        <v>22</v>
      </c>
      <c r="B24" s="18" t="s">
        <v>10</v>
      </c>
      <c r="C24" s="16">
        <v>65</v>
      </c>
      <c r="D24" s="16">
        <v>152</v>
      </c>
      <c r="E24" s="16">
        <v>217</v>
      </c>
      <c r="F24" s="16">
        <v>1</v>
      </c>
      <c r="G24" s="16">
        <v>4</v>
      </c>
      <c r="H24" s="16">
        <v>5</v>
      </c>
      <c r="I24" s="16">
        <v>222</v>
      </c>
      <c r="J24" s="17">
        <f>data[[#This Row],[سعودى الإجمالي]]/data[[#This Row],[الإجمالي الكلي]]</f>
        <v>0.97747747747747749</v>
      </c>
      <c r="K24" s="17">
        <f>data[[#This Row],[أنثى - سعودي]]/data[[#This Row],[سعودى الإجمالي]]</f>
        <v>0.29953917050691242</v>
      </c>
      <c r="L24" s="19">
        <f>data[[#This Row],[ذكر - سعودي]]/data[[#This Row],[سعودى الإجمالي]]</f>
        <v>0.70046082949308752</v>
      </c>
      <c r="M24" s="17">
        <f>data[[#This Row],[غير سعودى الإجمالي]]/data[[#This Row],[الإجمالي الكلي]]</f>
        <v>2.2522522522522521E-2</v>
      </c>
      <c r="N24" s="19">
        <f>data[[#This Row],[ذكر - غير سعودي]]/data[[#This Row],[غير سعودى الإجمالي]]</f>
        <v>0.8</v>
      </c>
    </row>
    <row r="25" spans="1:14" ht="22" customHeight="1">
      <c r="A25" s="18" t="s">
        <v>22</v>
      </c>
      <c r="B25" s="18" t="s">
        <v>11</v>
      </c>
      <c r="C25" s="16">
        <v>16</v>
      </c>
      <c r="D25" s="16">
        <v>33</v>
      </c>
      <c r="E25" s="16">
        <v>49</v>
      </c>
      <c r="F25" s="16">
        <v>18</v>
      </c>
      <c r="G25" s="16">
        <v>936</v>
      </c>
      <c r="H25" s="16">
        <v>954</v>
      </c>
      <c r="I25" s="16">
        <v>1003</v>
      </c>
      <c r="J25" s="17">
        <f>data[[#This Row],[سعودى الإجمالي]]/data[[#This Row],[الإجمالي الكلي]]</f>
        <v>4.8853439680957129E-2</v>
      </c>
      <c r="K25" s="17">
        <f>data[[#This Row],[أنثى - سعودي]]/data[[#This Row],[سعودى الإجمالي]]</f>
        <v>0.32653061224489793</v>
      </c>
      <c r="L25" s="19">
        <f>data[[#This Row],[ذكر - سعودي]]/data[[#This Row],[سعودى الإجمالي]]</f>
        <v>0.67346938775510201</v>
      </c>
      <c r="M25" s="17">
        <f>data[[#This Row],[غير سعودى الإجمالي]]/data[[#This Row],[الإجمالي الكلي]]</f>
        <v>0.95114656031904288</v>
      </c>
      <c r="N25" s="19">
        <f>data[[#This Row],[ذكر - غير سعودي]]/data[[#This Row],[غير سعودى الإجمالي]]</f>
        <v>0.98113207547169812</v>
      </c>
    </row>
    <row r="26" spans="1:14" ht="22" customHeight="1">
      <c r="A26" s="18" t="s">
        <v>22</v>
      </c>
      <c r="B26" s="18" t="s">
        <v>12</v>
      </c>
      <c r="C26" s="16">
        <v>450</v>
      </c>
      <c r="D26" s="16">
        <v>799</v>
      </c>
      <c r="E26" s="16">
        <v>1249</v>
      </c>
      <c r="F26" s="16">
        <v>184</v>
      </c>
      <c r="G26" s="16">
        <v>2958</v>
      </c>
      <c r="H26" s="16">
        <v>3142</v>
      </c>
      <c r="I26" s="16">
        <v>4391</v>
      </c>
      <c r="J26" s="17">
        <f>data[[#This Row],[سعودى الإجمالي]]/data[[#This Row],[الإجمالي الكلي]]</f>
        <v>0.28444545661580506</v>
      </c>
      <c r="K26" s="17">
        <f>data[[#This Row],[أنثى - سعودي]]/data[[#This Row],[سعودى الإجمالي]]</f>
        <v>0.36028823058446757</v>
      </c>
      <c r="L26" s="19">
        <f>data[[#This Row],[ذكر - سعودي]]/data[[#This Row],[سعودى الإجمالي]]</f>
        <v>0.63971176941553243</v>
      </c>
      <c r="M26" s="17">
        <f>data[[#This Row],[غير سعودى الإجمالي]]/data[[#This Row],[الإجمالي الكلي]]</f>
        <v>0.715554543384195</v>
      </c>
      <c r="N26" s="19">
        <f>data[[#This Row],[ذكر - غير سعودي]]/data[[#This Row],[غير سعودى الإجمالي]]</f>
        <v>0.94143857415658816</v>
      </c>
    </row>
    <row r="27" spans="1:14" ht="22" customHeight="1">
      <c r="A27" s="18" t="s">
        <v>22</v>
      </c>
      <c r="B27" s="18" t="s">
        <v>13</v>
      </c>
      <c r="C27" s="16">
        <v>711</v>
      </c>
      <c r="D27" s="16">
        <v>828</v>
      </c>
      <c r="E27" s="16">
        <v>1539</v>
      </c>
      <c r="F27" s="16">
        <v>348</v>
      </c>
      <c r="G27" s="16">
        <v>7682</v>
      </c>
      <c r="H27" s="16">
        <v>8030</v>
      </c>
      <c r="I27" s="16">
        <v>9569</v>
      </c>
      <c r="J27" s="17">
        <f>data[[#This Row],[سعودى الإجمالي]]/data[[#This Row],[الإجمالي الكلي]]</f>
        <v>0.16083185285818791</v>
      </c>
      <c r="K27" s="17">
        <f>data[[#This Row],[أنثى - سعودي]]/data[[#This Row],[سعودى الإجمالي]]</f>
        <v>0.46198830409356723</v>
      </c>
      <c r="L27" s="19">
        <f>data[[#This Row],[ذكر - سعودي]]/data[[#This Row],[سعودى الإجمالي]]</f>
        <v>0.53801169590643272</v>
      </c>
      <c r="M27" s="17">
        <f>data[[#This Row],[غير سعودى الإجمالي]]/data[[#This Row],[الإجمالي الكلي]]</f>
        <v>0.83916814714181209</v>
      </c>
      <c r="N27" s="19">
        <f>data[[#This Row],[ذكر - غير سعودي]]/data[[#This Row],[غير سعودى الإجمالي]]</f>
        <v>0.95666251556662518</v>
      </c>
    </row>
    <row r="28" spans="1:14" ht="22" customHeight="1">
      <c r="A28" s="18" t="s">
        <v>22</v>
      </c>
      <c r="B28" s="18" t="s">
        <v>14</v>
      </c>
      <c r="C28" s="16">
        <v>623</v>
      </c>
      <c r="D28" s="16">
        <v>967</v>
      </c>
      <c r="E28" s="16">
        <v>1590</v>
      </c>
      <c r="F28" s="16">
        <v>341</v>
      </c>
      <c r="G28" s="16">
        <v>7855</v>
      </c>
      <c r="H28" s="16">
        <v>8196</v>
      </c>
      <c r="I28" s="16">
        <v>9786</v>
      </c>
      <c r="J28" s="17">
        <f>data[[#This Row],[سعودى الإجمالي]]/data[[#This Row],[الإجمالي الكلي]]</f>
        <v>0.16247700797057021</v>
      </c>
      <c r="K28" s="17">
        <f>data[[#This Row],[أنثى - سعودي]]/data[[#This Row],[سعودى الإجمالي]]</f>
        <v>0.39182389937106921</v>
      </c>
      <c r="L28" s="19">
        <f>data[[#This Row],[ذكر - سعودي]]/data[[#This Row],[سعودى الإجمالي]]</f>
        <v>0.60817610062893079</v>
      </c>
      <c r="M28" s="17">
        <f>data[[#This Row],[غير سعودى الإجمالي]]/data[[#This Row],[الإجمالي الكلي]]</f>
        <v>0.83752299202942981</v>
      </c>
      <c r="N28" s="19">
        <f>data[[#This Row],[ذكر - غير سعودي]]/data[[#This Row],[غير سعودى الإجمالي]]</f>
        <v>0.95839433870180579</v>
      </c>
    </row>
    <row r="29" spans="1:14" ht="22" customHeight="1">
      <c r="A29" s="18" t="s">
        <v>22</v>
      </c>
      <c r="B29" s="18" t="s">
        <v>15</v>
      </c>
      <c r="C29" s="16">
        <v>373</v>
      </c>
      <c r="D29" s="16">
        <v>434</v>
      </c>
      <c r="E29" s="16">
        <v>807</v>
      </c>
      <c r="F29" s="16">
        <v>362</v>
      </c>
      <c r="G29" s="16">
        <v>8690</v>
      </c>
      <c r="H29" s="16">
        <v>9052</v>
      </c>
      <c r="I29" s="16">
        <v>9859</v>
      </c>
      <c r="J29" s="17">
        <f>data[[#This Row],[سعودى الإجمالي]]/data[[#This Row],[الإجمالي الكلي]]</f>
        <v>8.1854143422253778E-2</v>
      </c>
      <c r="K29" s="17">
        <f>data[[#This Row],[أنثى - سعودي]]/data[[#This Row],[سعودى الإجمالي]]</f>
        <v>0.46220570012391576</v>
      </c>
      <c r="L29" s="19">
        <f>data[[#This Row],[ذكر - سعودي]]/data[[#This Row],[سعودى الإجمالي]]</f>
        <v>0.53779429987608429</v>
      </c>
      <c r="M29" s="17">
        <f>data[[#This Row],[غير سعودى الإجمالي]]/data[[#This Row],[الإجمالي الكلي]]</f>
        <v>0.91814585657774617</v>
      </c>
      <c r="N29" s="19">
        <f>data[[#This Row],[ذكر - غير سعودي]]/data[[#This Row],[غير سعودى الإجمالي]]</f>
        <v>0.96000883782589486</v>
      </c>
    </row>
    <row r="30" spans="1:14" ht="22" customHeight="1">
      <c r="A30" s="18" t="s">
        <v>22</v>
      </c>
      <c r="B30" s="18" t="s">
        <v>16</v>
      </c>
      <c r="C30" s="16">
        <v>329</v>
      </c>
      <c r="D30" s="16">
        <v>298</v>
      </c>
      <c r="E30" s="16">
        <v>627</v>
      </c>
      <c r="F30" s="16">
        <v>282</v>
      </c>
      <c r="G30" s="16">
        <v>7331</v>
      </c>
      <c r="H30" s="16">
        <v>7613</v>
      </c>
      <c r="I30" s="16">
        <v>8240</v>
      </c>
      <c r="J30" s="17">
        <f>data[[#This Row],[سعودى الإجمالي]]/data[[#This Row],[الإجمالي الكلي]]</f>
        <v>7.6092233009708743E-2</v>
      </c>
      <c r="K30" s="17">
        <f>data[[#This Row],[أنثى - سعودي]]/data[[#This Row],[سعودى الإجمالي]]</f>
        <v>0.52472089314194581</v>
      </c>
      <c r="L30" s="19">
        <f>data[[#This Row],[ذكر - سعودي]]/data[[#This Row],[سعودى الإجمالي]]</f>
        <v>0.47527910685805425</v>
      </c>
      <c r="M30" s="17">
        <f>data[[#This Row],[غير سعودى الإجمالي]]/data[[#This Row],[الإجمالي الكلي]]</f>
        <v>0.92390776699029131</v>
      </c>
      <c r="N30" s="19">
        <f>data[[#This Row],[ذكر - غير سعودي]]/data[[#This Row],[غير سعودى الإجمالي]]</f>
        <v>0.96295809799027976</v>
      </c>
    </row>
    <row r="31" spans="1:14" ht="22" customHeight="1">
      <c r="A31" s="18" t="s">
        <v>22</v>
      </c>
      <c r="B31" s="18" t="s">
        <v>17</v>
      </c>
      <c r="C31" s="16">
        <v>165</v>
      </c>
      <c r="D31" s="16">
        <v>199</v>
      </c>
      <c r="E31" s="16">
        <v>364</v>
      </c>
      <c r="F31" s="16">
        <v>216</v>
      </c>
      <c r="G31" s="16">
        <v>5278</v>
      </c>
      <c r="H31" s="16">
        <v>5494</v>
      </c>
      <c r="I31" s="16">
        <v>5858</v>
      </c>
      <c r="J31" s="17">
        <f>data[[#This Row],[سعودى الإجمالي]]/data[[#This Row],[الإجمالي الكلي]]</f>
        <v>6.2137248207579376E-2</v>
      </c>
      <c r="K31" s="17">
        <f>data[[#This Row],[أنثى - سعودي]]/data[[#This Row],[سعودى الإجمالي]]</f>
        <v>0.4532967032967033</v>
      </c>
      <c r="L31" s="19">
        <f>data[[#This Row],[ذكر - سعودي]]/data[[#This Row],[سعودى الإجمالي]]</f>
        <v>0.54670329670329665</v>
      </c>
      <c r="M31" s="17">
        <f>data[[#This Row],[غير سعودى الإجمالي]]/data[[#This Row],[الإجمالي الكلي]]</f>
        <v>0.93786275179242062</v>
      </c>
      <c r="N31" s="19">
        <f>data[[#This Row],[ذكر - غير سعودي]]/data[[#This Row],[غير سعودى الإجمالي]]</f>
        <v>0.96068438296323266</v>
      </c>
    </row>
    <row r="32" spans="1:14" ht="22" customHeight="1">
      <c r="A32" s="18" t="s">
        <v>22</v>
      </c>
      <c r="B32" s="18" t="s">
        <v>18</v>
      </c>
      <c r="C32" s="16">
        <v>86</v>
      </c>
      <c r="D32" s="16">
        <v>140</v>
      </c>
      <c r="E32" s="16">
        <v>226</v>
      </c>
      <c r="F32" s="16">
        <v>106</v>
      </c>
      <c r="G32" s="16">
        <v>3078</v>
      </c>
      <c r="H32" s="16">
        <v>3184</v>
      </c>
      <c r="I32" s="16">
        <v>3410</v>
      </c>
      <c r="J32" s="17">
        <f>data[[#This Row],[سعودى الإجمالي]]/data[[#This Row],[الإجمالي الكلي]]</f>
        <v>6.6275659824046915E-2</v>
      </c>
      <c r="K32" s="17">
        <f>data[[#This Row],[أنثى - سعودي]]/data[[#This Row],[سعودى الإجمالي]]</f>
        <v>0.38053097345132741</v>
      </c>
      <c r="L32" s="19">
        <f>data[[#This Row],[ذكر - سعودي]]/data[[#This Row],[سعودى الإجمالي]]</f>
        <v>0.61946902654867253</v>
      </c>
      <c r="M32" s="17">
        <f>data[[#This Row],[غير سعودى الإجمالي]]/data[[#This Row],[الإجمالي الكلي]]</f>
        <v>0.93372434017595307</v>
      </c>
      <c r="N32" s="19">
        <f>data[[#This Row],[ذكر - غير سعودي]]/data[[#This Row],[غير سعودى الإجمالي]]</f>
        <v>0.96670854271356788</v>
      </c>
    </row>
    <row r="33" spans="1:14" ht="22" customHeight="1">
      <c r="A33" s="18" t="s">
        <v>22</v>
      </c>
      <c r="B33" s="18" t="s">
        <v>19</v>
      </c>
      <c r="C33" s="16">
        <v>84</v>
      </c>
      <c r="D33" s="16">
        <v>134</v>
      </c>
      <c r="E33" s="16">
        <v>218</v>
      </c>
      <c r="F33" s="16">
        <v>49</v>
      </c>
      <c r="G33" s="16">
        <v>2225</v>
      </c>
      <c r="H33" s="16">
        <v>2274</v>
      </c>
      <c r="I33" s="16">
        <v>2492</v>
      </c>
      <c r="J33" s="17">
        <f>data[[#This Row],[سعودى الإجمالي]]/data[[#This Row],[الإجمالي الكلي]]</f>
        <v>8.7479935794542538E-2</v>
      </c>
      <c r="K33" s="17">
        <f>data[[#This Row],[أنثى - سعودي]]/data[[#This Row],[سعودى الإجمالي]]</f>
        <v>0.38532110091743121</v>
      </c>
      <c r="L33" s="19">
        <f>data[[#This Row],[ذكر - سعودي]]/data[[#This Row],[سعودى الإجمالي]]</f>
        <v>0.61467889908256879</v>
      </c>
      <c r="M33" s="17">
        <f>data[[#This Row],[غير سعودى الإجمالي]]/data[[#This Row],[الإجمالي الكلي]]</f>
        <v>0.9125200642054575</v>
      </c>
      <c r="N33" s="19">
        <f>data[[#This Row],[ذكر - غير سعودي]]/data[[#This Row],[غير سعودى الإجمالي]]</f>
        <v>0.97845206684256814</v>
      </c>
    </row>
    <row r="34" spans="1:14" ht="22" customHeight="1">
      <c r="A34" s="18" t="s">
        <v>22</v>
      </c>
      <c r="B34" s="18" t="s">
        <v>20</v>
      </c>
      <c r="C34" s="16">
        <v>51</v>
      </c>
      <c r="D34" s="16">
        <v>66</v>
      </c>
      <c r="E34" s="16">
        <v>117</v>
      </c>
      <c r="F34" s="16">
        <v>37</v>
      </c>
      <c r="G34" s="16">
        <v>1286</v>
      </c>
      <c r="H34" s="16">
        <v>1323</v>
      </c>
      <c r="I34" s="16">
        <v>1440</v>
      </c>
      <c r="J34" s="17">
        <f>data[[#This Row],[سعودى الإجمالي]]/data[[#This Row],[الإجمالي الكلي]]</f>
        <v>8.1250000000000003E-2</v>
      </c>
      <c r="K34" s="17">
        <f>data[[#This Row],[أنثى - سعودي]]/data[[#This Row],[سعودى الإجمالي]]</f>
        <v>0.4358974358974359</v>
      </c>
      <c r="L34" s="19">
        <f>data[[#This Row],[ذكر - سعودي]]/data[[#This Row],[سعودى الإجمالي]]</f>
        <v>0.5641025641025641</v>
      </c>
      <c r="M34" s="17">
        <f>data[[#This Row],[غير سعودى الإجمالي]]/data[[#This Row],[الإجمالي الكلي]]</f>
        <v>0.91874999999999996</v>
      </c>
      <c r="N34" s="19">
        <f>data[[#This Row],[ذكر - غير سعودي]]/data[[#This Row],[غير سعودى الإجمالي]]</f>
        <v>0.97203325774754346</v>
      </c>
    </row>
    <row r="35" spans="1:14" ht="22" customHeight="1">
      <c r="A35" s="18" t="s">
        <v>23</v>
      </c>
      <c r="B35" s="18" t="s">
        <v>10</v>
      </c>
      <c r="C35" s="16">
        <v>6692</v>
      </c>
      <c r="D35" s="16">
        <v>12663</v>
      </c>
      <c r="E35" s="16">
        <v>19355</v>
      </c>
      <c r="F35" s="16">
        <v>37</v>
      </c>
      <c r="G35" s="16">
        <v>505</v>
      </c>
      <c r="H35" s="16">
        <v>542</v>
      </c>
      <c r="I35" s="16">
        <v>19897</v>
      </c>
      <c r="J35" s="17">
        <f>data[[#This Row],[سعودى الإجمالي]]/data[[#This Row],[الإجمالي الكلي]]</f>
        <v>0.97275971251947535</v>
      </c>
      <c r="K35" s="17">
        <f>data[[#This Row],[أنثى - سعودي]]/data[[#This Row],[سعودى الإجمالي]]</f>
        <v>0.34575045207956601</v>
      </c>
      <c r="L35" s="19">
        <f>data[[#This Row],[ذكر - سعودي]]/data[[#This Row],[سعودى الإجمالي]]</f>
        <v>0.65424954792043399</v>
      </c>
      <c r="M35" s="17">
        <f>data[[#This Row],[غير سعودى الإجمالي]]/data[[#This Row],[الإجمالي الكلي]]</f>
        <v>2.7240287480524702E-2</v>
      </c>
      <c r="N35" s="19">
        <f>data[[#This Row],[ذكر - غير سعودي]]/data[[#This Row],[غير سعودى الإجمالي]]</f>
        <v>0.93173431734317347</v>
      </c>
    </row>
    <row r="36" spans="1:14" ht="22" customHeight="1">
      <c r="A36" s="18" t="s">
        <v>23</v>
      </c>
      <c r="B36" s="18" t="s">
        <v>11</v>
      </c>
      <c r="C36" s="16">
        <v>2433</v>
      </c>
      <c r="D36" s="16">
        <v>3712</v>
      </c>
      <c r="E36" s="16">
        <v>6145</v>
      </c>
      <c r="F36" s="16">
        <v>1940</v>
      </c>
      <c r="G36" s="16">
        <v>65003</v>
      </c>
      <c r="H36" s="16">
        <v>66943</v>
      </c>
      <c r="I36" s="16">
        <v>73088</v>
      </c>
      <c r="J36" s="17">
        <f>data[[#This Row],[سعودى الإجمالي]]/data[[#This Row],[الإجمالي الكلي]]</f>
        <v>8.4076729422066551E-2</v>
      </c>
      <c r="K36" s="17">
        <f>data[[#This Row],[أنثى - سعودي]]/data[[#This Row],[سعودى الإجمالي]]</f>
        <v>0.39593165174938977</v>
      </c>
      <c r="L36" s="19">
        <f>data[[#This Row],[ذكر - سعودي]]/data[[#This Row],[سعودى الإجمالي]]</f>
        <v>0.60406834825061029</v>
      </c>
      <c r="M36" s="17">
        <f>data[[#This Row],[غير سعودى الإجمالي]]/data[[#This Row],[الإجمالي الكلي]]</f>
        <v>0.91592327057793343</v>
      </c>
      <c r="N36" s="19">
        <f>data[[#This Row],[ذكر - غير سعودي]]/data[[#This Row],[غير سعودى الإجمالي]]</f>
        <v>0.97102012159598461</v>
      </c>
    </row>
    <row r="37" spans="1:14" ht="22" customHeight="1">
      <c r="A37" s="18" t="s">
        <v>23</v>
      </c>
      <c r="B37" s="18" t="s">
        <v>12</v>
      </c>
      <c r="C37" s="16">
        <v>60363</v>
      </c>
      <c r="D37" s="16">
        <v>98534</v>
      </c>
      <c r="E37" s="16">
        <v>158897</v>
      </c>
      <c r="F37" s="16">
        <v>16922</v>
      </c>
      <c r="G37" s="16">
        <v>341494</v>
      </c>
      <c r="H37" s="16">
        <v>358416</v>
      </c>
      <c r="I37" s="16">
        <v>517313</v>
      </c>
      <c r="J37" s="17">
        <f>data[[#This Row],[سعودى الإجمالي]]/data[[#This Row],[الإجمالي الكلي]]</f>
        <v>0.30715833547581445</v>
      </c>
      <c r="K37" s="17">
        <f>data[[#This Row],[أنثى - سعودي]]/data[[#This Row],[سعودى الإجمالي]]</f>
        <v>0.37988760014348916</v>
      </c>
      <c r="L37" s="19">
        <f>data[[#This Row],[ذكر - سعودي]]/data[[#This Row],[سعودى الإجمالي]]</f>
        <v>0.62011239985651079</v>
      </c>
      <c r="M37" s="17">
        <f>data[[#This Row],[غير سعودى الإجمالي]]/data[[#This Row],[الإجمالي الكلي]]</f>
        <v>0.6928416645241855</v>
      </c>
      <c r="N37" s="19">
        <f>data[[#This Row],[ذكر - غير سعودي]]/data[[#This Row],[غير سعودى الإجمالي]]</f>
        <v>0.9527867059506272</v>
      </c>
    </row>
    <row r="38" spans="1:14" ht="22" customHeight="1">
      <c r="A38" s="18" t="s">
        <v>23</v>
      </c>
      <c r="B38" s="18" t="s">
        <v>13</v>
      </c>
      <c r="C38" s="16">
        <v>114034</v>
      </c>
      <c r="D38" s="16">
        <v>141968</v>
      </c>
      <c r="E38" s="16">
        <v>256002</v>
      </c>
      <c r="F38" s="16">
        <v>55658</v>
      </c>
      <c r="G38" s="16">
        <v>832871</v>
      </c>
      <c r="H38" s="16">
        <v>888529</v>
      </c>
      <c r="I38" s="16">
        <v>1144531</v>
      </c>
      <c r="J38" s="17">
        <f>data[[#This Row],[سعودى الإجمالي]]/data[[#This Row],[الإجمالي الكلي]]</f>
        <v>0.223674151246231</v>
      </c>
      <c r="K38" s="17">
        <f>data[[#This Row],[أنثى - سعودي]]/data[[#This Row],[سعودى الإجمالي]]</f>
        <v>0.4454418324856837</v>
      </c>
      <c r="L38" s="19">
        <f>data[[#This Row],[ذكر - سعودي]]/data[[#This Row],[سعودى الإجمالي]]</f>
        <v>0.5545581675143163</v>
      </c>
      <c r="M38" s="17">
        <f>data[[#This Row],[غير سعودى الإجمالي]]/data[[#This Row],[الإجمالي الكلي]]</f>
        <v>0.77632584875376898</v>
      </c>
      <c r="N38" s="19">
        <f>data[[#This Row],[ذكر - غير سعودي]]/data[[#This Row],[غير سعودى الإجمالي]]</f>
        <v>0.93735938838237132</v>
      </c>
    </row>
    <row r="39" spans="1:14" ht="22" customHeight="1">
      <c r="A39" s="18" t="s">
        <v>23</v>
      </c>
      <c r="B39" s="18" t="s">
        <v>14</v>
      </c>
      <c r="C39" s="16">
        <v>110902</v>
      </c>
      <c r="D39" s="16">
        <v>124349</v>
      </c>
      <c r="E39" s="16">
        <v>235251</v>
      </c>
      <c r="F39" s="16">
        <v>54757</v>
      </c>
      <c r="G39" s="16">
        <v>745371</v>
      </c>
      <c r="H39" s="16">
        <v>800128</v>
      </c>
      <c r="I39" s="16">
        <v>1035379</v>
      </c>
      <c r="J39" s="17">
        <f>data[[#This Row],[سعودى الإجمالي]]/data[[#This Row],[الإجمالي الكلي]]</f>
        <v>0.22721245070645629</v>
      </c>
      <c r="K39" s="17">
        <f>data[[#This Row],[أنثى - سعودي]]/data[[#This Row],[سعودى الإجمالي]]</f>
        <v>0.47141988769442</v>
      </c>
      <c r="L39" s="19">
        <f>data[[#This Row],[ذكر - سعودي]]/data[[#This Row],[سعودى الإجمالي]]</f>
        <v>0.52858011230558</v>
      </c>
      <c r="M39" s="17">
        <f>data[[#This Row],[غير سعودى الإجمالي]]/data[[#This Row],[الإجمالي الكلي]]</f>
        <v>0.77278754929354376</v>
      </c>
      <c r="N39" s="19">
        <f>data[[#This Row],[ذكر - غير سعودي]]/data[[#This Row],[غير سعودى الإجمالي]]</f>
        <v>0.93156469964805633</v>
      </c>
    </row>
    <row r="40" spans="1:14" ht="22" customHeight="1">
      <c r="A40" s="18" t="s">
        <v>23</v>
      </c>
      <c r="B40" s="18" t="s">
        <v>15</v>
      </c>
      <c r="C40" s="16">
        <v>76479</v>
      </c>
      <c r="D40" s="16">
        <v>82166</v>
      </c>
      <c r="E40" s="16">
        <v>158645</v>
      </c>
      <c r="F40" s="16">
        <v>49590</v>
      </c>
      <c r="G40" s="16">
        <v>789351</v>
      </c>
      <c r="H40" s="16">
        <v>838941</v>
      </c>
      <c r="I40" s="16">
        <v>997586</v>
      </c>
      <c r="J40" s="17">
        <f>data[[#This Row],[سعودى الإجمالي]]/data[[#This Row],[الإجمالي الكلي]]</f>
        <v>0.159028895754351</v>
      </c>
      <c r="K40" s="17">
        <f>data[[#This Row],[أنثى - سعودي]]/data[[#This Row],[سعودى الإجمالي]]</f>
        <v>0.48207633395316585</v>
      </c>
      <c r="L40" s="19">
        <f>data[[#This Row],[ذكر - سعودي]]/data[[#This Row],[سعودى الإجمالي]]</f>
        <v>0.51792366604683415</v>
      </c>
      <c r="M40" s="17">
        <f>data[[#This Row],[غير سعودى الإجمالي]]/data[[#This Row],[الإجمالي الكلي]]</f>
        <v>0.84097110424564903</v>
      </c>
      <c r="N40" s="19">
        <f>data[[#This Row],[ذكر - غير سعودي]]/data[[#This Row],[غير سعودى الإجمالي]]</f>
        <v>0.94088976459608009</v>
      </c>
    </row>
    <row r="41" spans="1:14" ht="22" customHeight="1">
      <c r="A41" s="18" t="s">
        <v>23</v>
      </c>
      <c r="B41" s="18" t="s">
        <v>16</v>
      </c>
      <c r="C41" s="16">
        <v>50715</v>
      </c>
      <c r="D41" s="16">
        <v>56903</v>
      </c>
      <c r="E41" s="16">
        <v>107618</v>
      </c>
      <c r="F41" s="16">
        <v>33245</v>
      </c>
      <c r="G41" s="16">
        <v>639677</v>
      </c>
      <c r="H41" s="16">
        <v>672922</v>
      </c>
      <c r="I41" s="16">
        <v>780540</v>
      </c>
      <c r="J41" s="17">
        <f>data[[#This Row],[سعودى الإجمالي]]/data[[#This Row],[الإجمالي الكلي]]</f>
        <v>0.13787634201962742</v>
      </c>
      <c r="K41" s="17">
        <f>data[[#This Row],[أنثى - سعودي]]/data[[#This Row],[سعودى الإجمالي]]</f>
        <v>0.47125016261220243</v>
      </c>
      <c r="L41" s="19">
        <f>data[[#This Row],[ذكر - سعودي]]/data[[#This Row],[سعودى الإجمالي]]</f>
        <v>0.52874983738779757</v>
      </c>
      <c r="M41" s="17">
        <f>data[[#This Row],[غير سعودى الإجمالي]]/data[[#This Row],[الإجمالي الكلي]]</f>
        <v>0.8621236579803726</v>
      </c>
      <c r="N41" s="19">
        <f>data[[#This Row],[ذكر - غير سعودي]]/data[[#This Row],[غير سعودى الإجمالي]]</f>
        <v>0.95059605719533613</v>
      </c>
    </row>
    <row r="42" spans="1:14" ht="22" customHeight="1">
      <c r="A42" s="18" t="s">
        <v>23</v>
      </c>
      <c r="B42" s="18" t="s">
        <v>17</v>
      </c>
      <c r="C42" s="16">
        <v>28988</v>
      </c>
      <c r="D42" s="16">
        <v>36587</v>
      </c>
      <c r="E42" s="16">
        <v>65575</v>
      </c>
      <c r="F42" s="16">
        <v>16080</v>
      </c>
      <c r="G42" s="16">
        <v>411561</v>
      </c>
      <c r="H42" s="16">
        <v>427641</v>
      </c>
      <c r="I42" s="16">
        <v>493216</v>
      </c>
      <c r="J42" s="17">
        <f>data[[#This Row],[سعودى الإجمالي]]/data[[#This Row],[الإجمالي الكلي]]</f>
        <v>0.13295391876986959</v>
      </c>
      <c r="K42" s="17">
        <f>data[[#This Row],[أنثى - سعودي]]/data[[#This Row],[سعودى الإجمالي]]</f>
        <v>0.44205871139916125</v>
      </c>
      <c r="L42" s="19">
        <f>data[[#This Row],[ذكر - سعودي]]/data[[#This Row],[سعودى الإجمالي]]</f>
        <v>0.55794128860083869</v>
      </c>
      <c r="M42" s="17">
        <f>data[[#This Row],[غير سعودى الإجمالي]]/data[[#This Row],[الإجمالي الكلي]]</f>
        <v>0.86704608123013038</v>
      </c>
      <c r="N42" s="19">
        <f>data[[#This Row],[ذكر - غير سعودي]]/data[[#This Row],[غير سعودى الإجمالي]]</f>
        <v>0.96239836685444102</v>
      </c>
    </row>
    <row r="43" spans="1:14" ht="22" customHeight="1">
      <c r="A43" s="18" t="s">
        <v>23</v>
      </c>
      <c r="B43" s="18" t="s">
        <v>18</v>
      </c>
      <c r="C43" s="16">
        <v>17539</v>
      </c>
      <c r="D43" s="16">
        <v>21709</v>
      </c>
      <c r="E43" s="16">
        <v>39248</v>
      </c>
      <c r="F43" s="16">
        <v>7533</v>
      </c>
      <c r="G43" s="16">
        <v>227075</v>
      </c>
      <c r="H43" s="16">
        <v>234608</v>
      </c>
      <c r="I43" s="16">
        <v>273856</v>
      </c>
      <c r="J43" s="17">
        <f>data[[#This Row],[سعودى الإجمالي]]/data[[#This Row],[الإجمالي الكلي]]</f>
        <v>0.14331619537275064</v>
      </c>
      <c r="K43" s="17">
        <f>data[[#This Row],[أنثى - سعودي]]/data[[#This Row],[سعودى الإجمالي]]</f>
        <v>0.44687627395026497</v>
      </c>
      <c r="L43" s="19">
        <f>data[[#This Row],[ذكر - سعودي]]/data[[#This Row],[سعودى الإجمالي]]</f>
        <v>0.55312372604973503</v>
      </c>
      <c r="M43" s="17">
        <f>data[[#This Row],[غير سعودى الإجمالي]]/data[[#This Row],[الإجمالي الكلي]]</f>
        <v>0.85668380462724936</v>
      </c>
      <c r="N43" s="19">
        <f>data[[#This Row],[ذكر - غير سعودي]]/data[[#This Row],[غير سعودى الإجمالي]]</f>
        <v>0.96789112050739956</v>
      </c>
    </row>
    <row r="44" spans="1:14" ht="22" customHeight="1">
      <c r="A44" s="18" t="s">
        <v>23</v>
      </c>
      <c r="B44" s="18" t="s">
        <v>19</v>
      </c>
      <c r="C44" s="16">
        <v>12336</v>
      </c>
      <c r="D44" s="16">
        <v>16544</v>
      </c>
      <c r="E44" s="16">
        <v>28880</v>
      </c>
      <c r="F44" s="16">
        <v>4556</v>
      </c>
      <c r="G44" s="16">
        <v>153965</v>
      </c>
      <c r="H44" s="16">
        <v>158521</v>
      </c>
      <c r="I44" s="16">
        <v>187401</v>
      </c>
      <c r="J44" s="17">
        <f>data[[#This Row],[سعودى الإجمالي]]/data[[#This Row],[الإجمالي الكلي]]</f>
        <v>0.15410803570952131</v>
      </c>
      <c r="K44" s="17">
        <f>data[[#This Row],[أنثى - سعودي]]/data[[#This Row],[سعودى الإجمالي]]</f>
        <v>0.42714681440443214</v>
      </c>
      <c r="L44" s="19">
        <f>data[[#This Row],[ذكر - سعودي]]/data[[#This Row],[سعودى الإجمالي]]</f>
        <v>0.57285318559556786</v>
      </c>
      <c r="M44" s="17">
        <f>data[[#This Row],[غير سعودى الإجمالي]]/data[[#This Row],[الإجمالي الكلي]]</f>
        <v>0.84589196429047875</v>
      </c>
      <c r="N44" s="19">
        <f>data[[#This Row],[ذكر - غير سعودي]]/data[[#This Row],[غير سعودى الإجمالي]]</f>
        <v>0.9712593284170552</v>
      </c>
    </row>
    <row r="45" spans="1:14" ht="22" customHeight="1">
      <c r="A45" s="18" t="s">
        <v>23</v>
      </c>
      <c r="B45" s="18" t="s">
        <v>20</v>
      </c>
      <c r="C45" s="16">
        <v>5397</v>
      </c>
      <c r="D45" s="16">
        <v>7609</v>
      </c>
      <c r="E45" s="16">
        <v>13006</v>
      </c>
      <c r="F45" s="16">
        <v>2392</v>
      </c>
      <c r="G45" s="16">
        <v>85859</v>
      </c>
      <c r="H45" s="16">
        <v>88251</v>
      </c>
      <c r="I45" s="16">
        <v>101257</v>
      </c>
      <c r="J45" s="17">
        <f>data[[#This Row],[سعودى الإجمالي]]/data[[#This Row],[الإجمالي الكلي]]</f>
        <v>0.12844544080903048</v>
      </c>
      <c r="K45" s="17">
        <f>data[[#This Row],[أنثى - سعودي]]/data[[#This Row],[سعودى الإجمالي]]</f>
        <v>0.414962325080732</v>
      </c>
      <c r="L45" s="19">
        <f>data[[#This Row],[ذكر - سعودي]]/data[[#This Row],[سعودى الإجمالي]]</f>
        <v>0.58503767491926806</v>
      </c>
      <c r="M45" s="17">
        <f>data[[#This Row],[غير سعودى الإجمالي]]/data[[#This Row],[الإجمالي الكلي]]</f>
        <v>0.87155455919096947</v>
      </c>
      <c r="N45" s="19">
        <f>data[[#This Row],[ذكر - غير سعودي]]/data[[#This Row],[غير سعودى الإجمالي]]</f>
        <v>0.9728954912692207</v>
      </c>
    </row>
    <row r="46" spans="1:14" ht="22" customHeight="1">
      <c r="A46" s="18" t="s">
        <v>24</v>
      </c>
      <c r="B46" s="18" t="s">
        <v>10</v>
      </c>
      <c r="C46" s="16">
        <v>2240</v>
      </c>
      <c r="D46" s="16">
        <v>6304</v>
      </c>
      <c r="E46" s="16">
        <v>8544</v>
      </c>
      <c r="F46" s="16">
        <v>8</v>
      </c>
      <c r="G46" s="16">
        <v>68</v>
      </c>
      <c r="H46" s="16">
        <v>76</v>
      </c>
      <c r="I46" s="16">
        <v>8620</v>
      </c>
      <c r="J46" s="17">
        <f>data[[#This Row],[سعودى الإجمالي]]/data[[#This Row],[الإجمالي الكلي]]</f>
        <v>0.99118329466357313</v>
      </c>
      <c r="K46" s="17">
        <f>data[[#This Row],[أنثى - سعودي]]/data[[#This Row],[سعودى الإجمالي]]</f>
        <v>0.26217228464419473</v>
      </c>
      <c r="L46" s="19">
        <f>data[[#This Row],[ذكر - سعودي]]/data[[#This Row],[سعودى الإجمالي]]</f>
        <v>0.73782771535580527</v>
      </c>
      <c r="M46" s="17">
        <f>data[[#This Row],[غير سعودى الإجمالي]]/data[[#This Row],[الإجمالي الكلي]]</f>
        <v>8.8167053364269134E-3</v>
      </c>
      <c r="N46" s="19">
        <f>data[[#This Row],[ذكر - غير سعودي]]/data[[#This Row],[غير سعودى الإجمالي]]</f>
        <v>0.89473684210526316</v>
      </c>
    </row>
    <row r="47" spans="1:14" ht="22" customHeight="1">
      <c r="A47" s="18" t="s">
        <v>24</v>
      </c>
      <c r="B47" s="18" t="s">
        <v>11</v>
      </c>
      <c r="C47" s="16">
        <v>780</v>
      </c>
      <c r="D47" s="16">
        <v>1870</v>
      </c>
      <c r="E47" s="16">
        <v>2650</v>
      </c>
      <c r="F47" s="16">
        <v>481</v>
      </c>
      <c r="G47" s="16">
        <v>21283</v>
      </c>
      <c r="H47" s="16">
        <v>21764</v>
      </c>
      <c r="I47" s="16">
        <v>24414</v>
      </c>
      <c r="J47" s="17">
        <f>data[[#This Row],[سعودى الإجمالي]]/data[[#This Row],[الإجمالي الكلي]]</f>
        <v>0.10854427787335136</v>
      </c>
      <c r="K47" s="17">
        <f>data[[#This Row],[أنثى - سعودي]]/data[[#This Row],[سعودى الإجمالي]]</f>
        <v>0.29433962264150942</v>
      </c>
      <c r="L47" s="19">
        <f>data[[#This Row],[ذكر - سعودي]]/data[[#This Row],[سعودى الإجمالي]]</f>
        <v>0.70566037735849052</v>
      </c>
      <c r="M47" s="17">
        <f>data[[#This Row],[غير سعودى الإجمالي]]/data[[#This Row],[الإجمالي الكلي]]</f>
        <v>0.8914557221266487</v>
      </c>
      <c r="N47" s="19">
        <f>data[[#This Row],[ذكر - غير سعودي]]/data[[#This Row],[غير سعودى الإجمالي]]</f>
        <v>0.97789928321999631</v>
      </c>
    </row>
    <row r="48" spans="1:14" ht="22" customHeight="1">
      <c r="A48" s="18" t="s">
        <v>24</v>
      </c>
      <c r="B48" s="18" t="s">
        <v>12</v>
      </c>
      <c r="C48" s="16">
        <v>21537</v>
      </c>
      <c r="D48" s="16">
        <v>59311</v>
      </c>
      <c r="E48" s="16">
        <v>80848</v>
      </c>
      <c r="F48" s="16">
        <v>4473</v>
      </c>
      <c r="G48" s="16">
        <v>88260</v>
      </c>
      <c r="H48" s="16">
        <v>92733</v>
      </c>
      <c r="I48" s="16">
        <v>173581</v>
      </c>
      <c r="J48" s="17">
        <f>data[[#This Row],[سعودى الإجمالي]]/data[[#This Row],[الإجمالي الكلي]]</f>
        <v>0.46576526232709803</v>
      </c>
      <c r="K48" s="17">
        <f>data[[#This Row],[أنثى - سعودي]]/data[[#This Row],[سعودى الإجمالي]]</f>
        <v>0.26638877894320206</v>
      </c>
      <c r="L48" s="19">
        <f>data[[#This Row],[ذكر - سعودي]]/data[[#This Row],[سعودى الإجمالي]]</f>
        <v>0.73361122105679799</v>
      </c>
      <c r="M48" s="17">
        <f>data[[#This Row],[غير سعودى الإجمالي]]/data[[#This Row],[الإجمالي الكلي]]</f>
        <v>0.53423473767290197</v>
      </c>
      <c r="N48" s="19">
        <f>data[[#This Row],[ذكر - غير سعودي]]/data[[#This Row],[غير سعودى الإجمالي]]</f>
        <v>0.95176474394228594</v>
      </c>
    </row>
    <row r="49" spans="1:14" ht="22" customHeight="1">
      <c r="A49" s="18" t="s">
        <v>24</v>
      </c>
      <c r="B49" s="18" t="s">
        <v>13</v>
      </c>
      <c r="C49" s="16">
        <v>39343</v>
      </c>
      <c r="D49" s="16">
        <v>80085</v>
      </c>
      <c r="E49" s="16">
        <v>119428</v>
      </c>
      <c r="F49" s="16">
        <v>13776</v>
      </c>
      <c r="G49" s="16">
        <v>259597</v>
      </c>
      <c r="H49" s="16">
        <v>273373</v>
      </c>
      <c r="I49" s="16">
        <v>392801</v>
      </c>
      <c r="J49" s="17">
        <f>data[[#This Row],[سعودى الإجمالي]]/data[[#This Row],[الإجمالي الكلي]]</f>
        <v>0.30404199581976626</v>
      </c>
      <c r="K49" s="17">
        <f>data[[#This Row],[أنثى - سعودي]]/data[[#This Row],[سعودى الإجمالي]]</f>
        <v>0.32942860970626653</v>
      </c>
      <c r="L49" s="19">
        <f>data[[#This Row],[ذكر - سعودي]]/data[[#This Row],[سعودى الإجمالي]]</f>
        <v>0.67057139029373347</v>
      </c>
      <c r="M49" s="17">
        <f>data[[#This Row],[غير سعودى الإجمالي]]/data[[#This Row],[الإجمالي الكلي]]</f>
        <v>0.69595800418023379</v>
      </c>
      <c r="N49" s="19">
        <f>data[[#This Row],[ذكر - غير سعودي]]/data[[#This Row],[غير سعودى الإجمالي]]</f>
        <v>0.94960731308505231</v>
      </c>
    </row>
    <row r="50" spans="1:14" ht="22" customHeight="1">
      <c r="A50" s="18" t="s">
        <v>24</v>
      </c>
      <c r="B50" s="18" t="s">
        <v>14</v>
      </c>
      <c r="C50" s="16">
        <v>38186</v>
      </c>
      <c r="D50" s="16">
        <v>77745</v>
      </c>
      <c r="E50" s="16">
        <v>115931</v>
      </c>
      <c r="F50" s="16">
        <v>13548</v>
      </c>
      <c r="G50" s="16">
        <v>282684</v>
      </c>
      <c r="H50" s="16">
        <v>296232</v>
      </c>
      <c r="I50" s="16">
        <v>412163</v>
      </c>
      <c r="J50" s="17">
        <f>data[[#This Row],[سعودى الإجمالي]]/data[[#This Row],[الإجمالي الكلي]]</f>
        <v>0.28127464134335201</v>
      </c>
      <c r="K50" s="17">
        <f>data[[#This Row],[أنثى - سعودي]]/data[[#This Row],[سعودى الإجمالي]]</f>
        <v>0.32938558280356417</v>
      </c>
      <c r="L50" s="19">
        <f>data[[#This Row],[ذكر - سعودي]]/data[[#This Row],[سعودى الإجمالي]]</f>
        <v>0.67061441719643577</v>
      </c>
      <c r="M50" s="17">
        <f>data[[#This Row],[غير سعودى الإجمالي]]/data[[#This Row],[الإجمالي الكلي]]</f>
        <v>0.71872535865664799</v>
      </c>
      <c r="N50" s="19">
        <f>data[[#This Row],[ذكر - غير سعودي]]/data[[#This Row],[غير سعودى الإجمالي]]</f>
        <v>0.95426557562991166</v>
      </c>
    </row>
    <row r="51" spans="1:14" ht="22" customHeight="1">
      <c r="A51" s="18" t="s">
        <v>24</v>
      </c>
      <c r="B51" s="18" t="s">
        <v>15</v>
      </c>
      <c r="C51" s="16">
        <v>28915</v>
      </c>
      <c r="D51" s="16">
        <v>62355</v>
      </c>
      <c r="E51" s="16">
        <v>91270</v>
      </c>
      <c r="F51" s="16">
        <v>12811</v>
      </c>
      <c r="G51" s="16">
        <v>320193</v>
      </c>
      <c r="H51" s="16">
        <v>333004</v>
      </c>
      <c r="I51" s="16">
        <v>424274</v>
      </c>
      <c r="J51" s="17">
        <f>data[[#This Row],[سعودى الإجمالي]]/data[[#This Row],[الإجمالي الكلي]]</f>
        <v>0.21512041746607147</v>
      </c>
      <c r="K51" s="17">
        <f>data[[#This Row],[أنثى - سعودي]]/data[[#This Row],[سعودى الإجمالي]]</f>
        <v>0.31680727511778239</v>
      </c>
      <c r="L51" s="19">
        <f>data[[#This Row],[ذكر - سعودي]]/data[[#This Row],[سعودى الإجمالي]]</f>
        <v>0.68319272488221761</v>
      </c>
      <c r="M51" s="17">
        <f>data[[#This Row],[غير سعودى الإجمالي]]/data[[#This Row],[الإجمالي الكلي]]</f>
        <v>0.78487958253392853</v>
      </c>
      <c r="N51" s="19">
        <f>data[[#This Row],[ذكر - غير سعودي]]/data[[#This Row],[غير سعودى الإجمالي]]</f>
        <v>0.96152899064275499</v>
      </c>
    </row>
    <row r="52" spans="1:14" ht="22" customHeight="1">
      <c r="A52" s="18" t="s">
        <v>24</v>
      </c>
      <c r="B52" s="18" t="s">
        <v>16</v>
      </c>
      <c r="C52" s="16">
        <v>22224</v>
      </c>
      <c r="D52" s="16">
        <v>43040</v>
      </c>
      <c r="E52" s="16">
        <v>65264</v>
      </c>
      <c r="F52" s="16">
        <v>8818</v>
      </c>
      <c r="G52" s="16">
        <v>281545</v>
      </c>
      <c r="H52" s="16">
        <v>290363</v>
      </c>
      <c r="I52" s="16">
        <v>355627</v>
      </c>
      <c r="J52" s="17">
        <f>data[[#This Row],[سعودى الإجمالي]]/data[[#This Row],[الإجمالي الكلي]]</f>
        <v>0.18351812432689307</v>
      </c>
      <c r="K52" s="17">
        <f>data[[#This Row],[أنثى - سعودي]]/data[[#This Row],[سعودى الإجمالي]]</f>
        <v>0.34052463839176267</v>
      </c>
      <c r="L52" s="19">
        <f>data[[#This Row],[ذكر - سعودي]]/data[[#This Row],[سعودى الإجمالي]]</f>
        <v>0.65947536160823728</v>
      </c>
      <c r="M52" s="17">
        <f>data[[#This Row],[غير سعودى الإجمالي]]/data[[#This Row],[الإجمالي الكلي]]</f>
        <v>0.81648187567310693</v>
      </c>
      <c r="N52" s="19">
        <f>data[[#This Row],[ذكر - غير سعودي]]/data[[#This Row],[غير سعودى الإجمالي]]</f>
        <v>0.96963111691227877</v>
      </c>
    </row>
    <row r="53" spans="1:14" ht="22" customHeight="1">
      <c r="A53" s="18" t="s">
        <v>24</v>
      </c>
      <c r="B53" s="18" t="s">
        <v>17</v>
      </c>
      <c r="C53" s="16">
        <v>13556</v>
      </c>
      <c r="D53" s="16">
        <v>28604</v>
      </c>
      <c r="E53" s="16">
        <v>42160</v>
      </c>
      <c r="F53" s="16">
        <v>4570</v>
      </c>
      <c r="G53" s="16">
        <v>191942</v>
      </c>
      <c r="H53" s="16">
        <v>196512</v>
      </c>
      <c r="I53" s="16">
        <v>238672</v>
      </c>
      <c r="J53" s="17">
        <f>data[[#This Row],[سعودى الإجمالي]]/data[[#This Row],[الإجمالي الكلي]]</f>
        <v>0.17664409733860695</v>
      </c>
      <c r="K53" s="17">
        <f>data[[#This Row],[أنثى - سعودي]]/data[[#This Row],[سعودى الإجمالي]]</f>
        <v>0.3215370018975332</v>
      </c>
      <c r="L53" s="19">
        <f>data[[#This Row],[ذكر - سعودي]]/data[[#This Row],[سعودى الإجمالي]]</f>
        <v>0.6784629981024668</v>
      </c>
      <c r="M53" s="17">
        <f>data[[#This Row],[غير سعودى الإجمالي]]/data[[#This Row],[الإجمالي الكلي]]</f>
        <v>0.82335590266139302</v>
      </c>
      <c r="N53" s="19">
        <f>data[[#This Row],[ذكر - غير سعودي]]/data[[#This Row],[غير سعودى الإجمالي]]</f>
        <v>0.97674442273245399</v>
      </c>
    </row>
    <row r="54" spans="1:14" ht="22" customHeight="1">
      <c r="A54" s="18" t="s">
        <v>24</v>
      </c>
      <c r="B54" s="18" t="s">
        <v>18</v>
      </c>
      <c r="C54" s="16">
        <v>7767</v>
      </c>
      <c r="D54" s="16">
        <v>16239</v>
      </c>
      <c r="E54" s="16">
        <v>24006</v>
      </c>
      <c r="F54" s="16">
        <v>2549</v>
      </c>
      <c r="G54" s="16">
        <v>116104</v>
      </c>
      <c r="H54" s="16">
        <v>118653</v>
      </c>
      <c r="I54" s="16">
        <v>142659</v>
      </c>
      <c r="J54" s="17">
        <f>data[[#This Row],[سعودى الإجمالي]]/data[[#This Row],[الإجمالي الكلي]]</f>
        <v>0.16827539797699409</v>
      </c>
      <c r="K54" s="17">
        <f>data[[#This Row],[أنثى - سعودي]]/data[[#This Row],[سعودى الإجمالي]]</f>
        <v>0.32354411397150712</v>
      </c>
      <c r="L54" s="19">
        <f>data[[#This Row],[ذكر - سعودي]]/data[[#This Row],[سعودى الإجمالي]]</f>
        <v>0.67645588602849283</v>
      </c>
      <c r="M54" s="17">
        <f>data[[#This Row],[غير سعودى الإجمالي]]/data[[#This Row],[الإجمالي الكلي]]</f>
        <v>0.83172460202300591</v>
      </c>
      <c r="N54" s="19">
        <f>data[[#This Row],[ذكر - غير سعودي]]/data[[#This Row],[غير سعودى الإجمالي]]</f>
        <v>0.97851718877735916</v>
      </c>
    </row>
    <row r="55" spans="1:14" ht="22" customHeight="1">
      <c r="A55" s="18" t="s">
        <v>24</v>
      </c>
      <c r="B55" s="18" t="s">
        <v>19</v>
      </c>
      <c r="C55" s="16">
        <v>4824</v>
      </c>
      <c r="D55" s="16">
        <v>11317</v>
      </c>
      <c r="E55" s="16">
        <v>16141</v>
      </c>
      <c r="F55" s="16">
        <v>1674</v>
      </c>
      <c r="G55" s="16">
        <v>78631</v>
      </c>
      <c r="H55" s="16">
        <v>80305</v>
      </c>
      <c r="I55" s="16">
        <v>96446</v>
      </c>
      <c r="J55" s="17">
        <f>data[[#This Row],[سعودى الإجمالي]]/data[[#This Row],[الإجمالي الكلي]]</f>
        <v>0.16735789975737719</v>
      </c>
      <c r="K55" s="17">
        <f>data[[#This Row],[أنثى - سعودي]]/data[[#This Row],[سعودى الإجمالي]]</f>
        <v>0.29886624124899325</v>
      </c>
      <c r="L55" s="19">
        <f>data[[#This Row],[ذكر - سعودي]]/data[[#This Row],[سعودى الإجمالي]]</f>
        <v>0.70113375875100681</v>
      </c>
      <c r="M55" s="17">
        <f>data[[#This Row],[غير سعودى الإجمالي]]/data[[#This Row],[الإجمالي الكلي]]</f>
        <v>0.83264210024262286</v>
      </c>
      <c r="N55" s="19">
        <f>data[[#This Row],[ذكر - غير سعودي]]/data[[#This Row],[غير سعودى الإجمالي]]</f>
        <v>0.97915447356951624</v>
      </c>
    </row>
    <row r="56" spans="1:14" ht="22" customHeight="1">
      <c r="A56" s="18" t="s">
        <v>24</v>
      </c>
      <c r="B56" s="18" t="s">
        <v>20</v>
      </c>
      <c r="C56" s="16">
        <v>2048</v>
      </c>
      <c r="D56" s="16">
        <v>4305</v>
      </c>
      <c r="E56" s="16">
        <v>6353</v>
      </c>
      <c r="F56" s="16">
        <v>795</v>
      </c>
      <c r="G56" s="16">
        <v>36531</v>
      </c>
      <c r="H56" s="16">
        <v>37326</v>
      </c>
      <c r="I56" s="16">
        <v>43679</v>
      </c>
      <c r="J56" s="17">
        <f>data[[#This Row],[سعودى الإجمالي]]/data[[#This Row],[الإجمالي الكلي]]</f>
        <v>0.14544746903546327</v>
      </c>
      <c r="K56" s="17">
        <f>data[[#This Row],[أنثى - سعودي]]/data[[#This Row],[سعودى الإجمالي]]</f>
        <v>0.32236738548717142</v>
      </c>
      <c r="L56" s="19">
        <f>data[[#This Row],[ذكر - سعودي]]/data[[#This Row],[سعودى الإجمالي]]</f>
        <v>0.67763261451282863</v>
      </c>
      <c r="M56" s="17">
        <f>data[[#This Row],[غير سعودى الإجمالي]]/data[[#This Row],[الإجمالي الكلي]]</f>
        <v>0.85455253096453676</v>
      </c>
      <c r="N56" s="19">
        <f>data[[#This Row],[ذكر - غير سعودي]]/data[[#This Row],[غير سعودى الإجمالي]]</f>
        <v>0.9787011734447838</v>
      </c>
    </row>
    <row r="57" spans="1:14" ht="22" customHeight="1">
      <c r="A57" s="18" t="s">
        <v>25</v>
      </c>
      <c r="B57" s="18" t="s">
        <v>10</v>
      </c>
      <c r="C57" s="16">
        <v>505</v>
      </c>
      <c r="D57" s="16">
        <v>1523</v>
      </c>
      <c r="E57" s="16">
        <v>2028</v>
      </c>
      <c r="F57" s="16">
        <v>4</v>
      </c>
      <c r="G57" s="16">
        <v>47</v>
      </c>
      <c r="H57" s="16">
        <v>51</v>
      </c>
      <c r="I57" s="16">
        <v>2079</v>
      </c>
      <c r="J57" s="17">
        <f>data[[#This Row],[سعودى الإجمالي]]/data[[#This Row],[الإجمالي الكلي]]</f>
        <v>0.97546897546897549</v>
      </c>
      <c r="K57" s="17">
        <f>data[[#This Row],[أنثى - سعودي]]/data[[#This Row],[سعودى الإجمالي]]</f>
        <v>0.24901380670611439</v>
      </c>
      <c r="L57" s="19">
        <f>data[[#This Row],[ذكر - سعودي]]/data[[#This Row],[سعودى الإجمالي]]</f>
        <v>0.75098619329388561</v>
      </c>
      <c r="M57" s="17">
        <f>data[[#This Row],[غير سعودى الإجمالي]]/data[[#This Row],[الإجمالي الكلي]]</f>
        <v>2.4531024531024532E-2</v>
      </c>
      <c r="N57" s="19">
        <f>data[[#This Row],[ذكر - غير سعودي]]/data[[#This Row],[غير سعودى الإجمالي]]</f>
        <v>0.92156862745098034</v>
      </c>
    </row>
    <row r="58" spans="1:14" ht="22" customHeight="1">
      <c r="A58" s="18" t="s">
        <v>25</v>
      </c>
      <c r="B58" s="18" t="s">
        <v>11</v>
      </c>
      <c r="C58" s="16">
        <v>200</v>
      </c>
      <c r="D58" s="16">
        <v>329</v>
      </c>
      <c r="E58" s="16">
        <v>529</v>
      </c>
      <c r="F58" s="16">
        <v>83</v>
      </c>
      <c r="G58" s="16">
        <v>4608</v>
      </c>
      <c r="H58" s="16">
        <v>4691</v>
      </c>
      <c r="I58" s="16">
        <v>5220</v>
      </c>
      <c r="J58" s="17">
        <f>data[[#This Row],[سعودى الإجمالي]]/data[[#This Row],[الإجمالي الكلي]]</f>
        <v>0.10134099616858237</v>
      </c>
      <c r="K58" s="17">
        <f>data[[#This Row],[أنثى - سعودي]]/data[[#This Row],[سعودى الإجمالي]]</f>
        <v>0.3780718336483932</v>
      </c>
      <c r="L58" s="19">
        <f>data[[#This Row],[ذكر - سعودي]]/data[[#This Row],[سعودى الإجمالي]]</f>
        <v>0.62192816635160686</v>
      </c>
      <c r="M58" s="17">
        <f>data[[#This Row],[غير سعودى الإجمالي]]/data[[#This Row],[الإجمالي الكلي]]</f>
        <v>0.89865900383141761</v>
      </c>
      <c r="N58" s="19">
        <f>data[[#This Row],[ذكر - غير سعودي]]/data[[#This Row],[غير سعودى الإجمالي]]</f>
        <v>0.98230654444681309</v>
      </c>
    </row>
    <row r="59" spans="1:14" ht="22" customHeight="1">
      <c r="A59" s="18" t="s">
        <v>25</v>
      </c>
      <c r="B59" s="18" t="s">
        <v>12</v>
      </c>
      <c r="C59" s="16">
        <v>3776</v>
      </c>
      <c r="D59" s="16">
        <v>8919</v>
      </c>
      <c r="E59" s="16">
        <v>12695</v>
      </c>
      <c r="F59" s="16">
        <v>572</v>
      </c>
      <c r="G59" s="16">
        <v>32237</v>
      </c>
      <c r="H59" s="16">
        <v>32809</v>
      </c>
      <c r="I59" s="16">
        <v>45504</v>
      </c>
      <c r="J59" s="17">
        <f>data[[#This Row],[سعودى الإجمالي]]/data[[#This Row],[الإجمالي الكلي]]</f>
        <v>0.27898646272855132</v>
      </c>
      <c r="K59" s="17">
        <f>data[[#This Row],[أنثى - سعودي]]/data[[#This Row],[سعودى الإجمالي]]</f>
        <v>0.2974399369830642</v>
      </c>
      <c r="L59" s="19">
        <f>data[[#This Row],[ذكر - سعودي]]/data[[#This Row],[سعودى الإجمالي]]</f>
        <v>0.70256006301693585</v>
      </c>
      <c r="M59" s="17">
        <f>data[[#This Row],[غير سعودى الإجمالي]]/data[[#This Row],[الإجمالي الكلي]]</f>
        <v>0.72101353727144868</v>
      </c>
      <c r="N59" s="19">
        <f>data[[#This Row],[ذكر - غير سعودي]]/data[[#This Row],[غير سعودى الإجمالي]]</f>
        <v>0.9825657593952879</v>
      </c>
    </row>
    <row r="60" spans="1:14" ht="22" customHeight="1">
      <c r="A60" s="18" t="s">
        <v>25</v>
      </c>
      <c r="B60" s="18" t="s">
        <v>13</v>
      </c>
      <c r="C60" s="16">
        <v>6183</v>
      </c>
      <c r="D60" s="16">
        <v>8528</v>
      </c>
      <c r="E60" s="16">
        <v>14711</v>
      </c>
      <c r="F60" s="16">
        <v>1758</v>
      </c>
      <c r="G60" s="16">
        <v>77476</v>
      </c>
      <c r="H60" s="16">
        <v>79234</v>
      </c>
      <c r="I60" s="16">
        <v>93945</v>
      </c>
      <c r="J60" s="17">
        <f>data[[#This Row],[سعودى الإجمالي]]/data[[#This Row],[الإجمالي الكلي]]</f>
        <v>0.15659162275799671</v>
      </c>
      <c r="K60" s="17">
        <f>data[[#This Row],[أنثى - سعودي]]/data[[#This Row],[سعودى الإجمالي]]</f>
        <v>0.42029773638773704</v>
      </c>
      <c r="L60" s="19">
        <f>data[[#This Row],[ذكر - سعودي]]/data[[#This Row],[سعودى الإجمالي]]</f>
        <v>0.57970226361226296</v>
      </c>
      <c r="M60" s="17">
        <f>data[[#This Row],[غير سعودى الإجمالي]]/data[[#This Row],[الإجمالي الكلي]]</f>
        <v>0.84340837724200335</v>
      </c>
      <c r="N60" s="19">
        <f>data[[#This Row],[ذكر - غير سعودي]]/data[[#This Row],[غير سعودى الإجمالي]]</f>
        <v>0.97781255521619503</v>
      </c>
    </row>
    <row r="61" spans="1:14" ht="22" customHeight="1">
      <c r="A61" s="18" t="s">
        <v>25</v>
      </c>
      <c r="B61" s="18" t="s">
        <v>14</v>
      </c>
      <c r="C61" s="16">
        <v>5797</v>
      </c>
      <c r="D61" s="16">
        <v>6123</v>
      </c>
      <c r="E61" s="16">
        <v>11920</v>
      </c>
      <c r="F61" s="16">
        <v>2002</v>
      </c>
      <c r="G61" s="16">
        <v>67046</v>
      </c>
      <c r="H61" s="16">
        <v>69048</v>
      </c>
      <c r="I61" s="16">
        <v>80968</v>
      </c>
      <c r="J61" s="17">
        <f>data[[#This Row],[سعودى الإجمالي]]/data[[#This Row],[الإجمالي الكلي]]</f>
        <v>0.1472186542831736</v>
      </c>
      <c r="K61" s="17">
        <f>data[[#This Row],[أنثى - سعودي]]/data[[#This Row],[سعودى الإجمالي]]</f>
        <v>0.48632550335570468</v>
      </c>
      <c r="L61" s="19">
        <f>data[[#This Row],[ذكر - سعودي]]/data[[#This Row],[سعودى الإجمالي]]</f>
        <v>0.51367449664429532</v>
      </c>
      <c r="M61" s="17">
        <f>data[[#This Row],[غير سعودى الإجمالي]]/data[[#This Row],[الإجمالي الكلي]]</f>
        <v>0.8527813457168264</v>
      </c>
      <c r="N61" s="19">
        <f>data[[#This Row],[ذكر - غير سعودي]]/data[[#This Row],[غير سعودى الإجمالي]]</f>
        <v>0.97100567721005682</v>
      </c>
    </row>
    <row r="62" spans="1:14" ht="22" customHeight="1">
      <c r="A62" s="18" t="s">
        <v>25</v>
      </c>
      <c r="B62" s="18" t="s">
        <v>15</v>
      </c>
      <c r="C62" s="16">
        <v>3949</v>
      </c>
      <c r="D62" s="16">
        <v>3359</v>
      </c>
      <c r="E62" s="16">
        <v>7308</v>
      </c>
      <c r="F62" s="16">
        <v>1969</v>
      </c>
      <c r="G62" s="16">
        <v>68972</v>
      </c>
      <c r="H62" s="16">
        <v>70941</v>
      </c>
      <c r="I62" s="16">
        <v>78249</v>
      </c>
      <c r="J62" s="17">
        <f>data[[#This Row],[سعودى الإجمالي]]/data[[#This Row],[الإجمالي الكلي]]</f>
        <v>9.3394164781658545E-2</v>
      </c>
      <c r="K62" s="17">
        <f>data[[#This Row],[أنثى - سعودي]]/data[[#This Row],[سعودى الإجمالي]]</f>
        <v>0.54036672140120412</v>
      </c>
      <c r="L62" s="19">
        <f>data[[#This Row],[ذكر - سعودي]]/data[[#This Row],[سعودى الإجمالي]]</f>
        <v>0.45963327859879582</v>
      </c>
      <c r="M62" s="17">
        <f>data[[#This Row],[غير سعودى الإجمالي]]/data[[#This Row],[الإجمالي الكلي]]</f>
        <v>0.90660583521834148</v>
      </c>
      <c r="N62" s="19">
        <f>data[[#This Row],[ذكر - غير سعودي]]/data[[#This Row],[غير سعودى الإجمالي]]</f>
        <v>0.97224454123849391</v>
      </c>
    </row>
    <row r="63" spans="1:14" ht="22" customHeight="1">
      <c r="A63" s="18" t="s">
        <v>25</v>
      </c>
      <c r="B63" s="18" t="s">
        <v>16</v>
      </c>
      <c r="C63" s="16">
        <v>2586</v>
      </c>
      <c r="D63" s="16">
        <v>2101</v>
      </c>
      <c r="E63" s="16">
        <v>4687</v>
      </c>
      <c r="F63" s="16">
        <v>1290</v>
      </c>
      <c r="G63" s="16">
        <v>56244</v>
      </c>
      <c r="H63" s="16">
        <v>57534</v>
      </c>
      <c r="I63" s="16">
        <v>62221</v>
      </c>
      <c r="J63" s="17">
        <f>data[[#This Row],[سعودى الإجمالي]]/data[[#This Row],[الإجمالي الكلي]]</f>
        <v>7.5328265376641321E-2</v>
      </c>
      <c r="K63" s="17">
        <f>data[[#This Row],[أنثى - سعودي]]/data[[#This Row],[سعودى الإجمالي]]</f>
        <v>0.55173885214422869</v>
      </c>
      <c r="L63" s="19">
        <f>data[[#This Row],[ذكر - سعودي]]/data[[#This Row],[سعودى الإجمالي]]</f>
        <v>0.44826114785577126</v>
      </c>
      <c r="M63" s="17">
        <f>data[[#This Row],[غير سعودى الإجمالي]]/data[[#This Row],[الإجمالي الكلي]]</f>
        <v>0.92467173462335872</v>
      </c>
      <c r="N63" s="19">
        <f>data[[#This Row],[ذكر - غير سعودي]]/data[[#This Row],[غير سعودى الإجمالي]]</f>
        <v>0.97757847533632292</v>
      </c>
    </row>
    <row r="64" spans="1:14" ht="22" customHeight="1">
      <c r="A64" s="18" t="s">
        <v>25</v>
      </c>
      <c r="B64" s="18" t="s">
        <v>17</v>
      </c>
      <c r="C64" s="16">
        <v>1614</v>
      </c>
      <c r="D64" s="16">
        <v>1457</v>
      </c>
      <c r="E64" s="16">
        <v>3071</v>
      </c>
      <c r="F64" s="16">
        <v>814</v>
      </c>
      <c r="G64" s="16">
        <v>36263</v>
      </c>
      <c r="H64" s="16">
        <v>37077</v>
      </c>
      <c r="I64" s="16">
        <v>40148</v>
      </c>
      <c r="J64" s="17">
        <f>data[[#This Row],[سعودى الإجمالي]]/data[[#This Row],[الإجمالي الكلي]]</f>
        <v>7.6491979675201757E-2</v>
      </c>
      <c r="K64" s="17">
        <f>data[[#This Row],[أنثى - سعودي]]/data[[#This Row],[سعودى الإجمالي]]</f>
        <v>0.52556170628459786</v>
      </c>
      <c r="L64" s="19">
        <f>data[[#This Row],[ذكر - سعودي]]/data[[#This Row],[سعودى الإجمالي]]</f>
        <v>0.47443829371540214</v>
      </c>
      <c r="M64" s="17">
        <f>data[[#This Row],[غير سعودى الإجمالي]]/data[[#This Row],[الإجمالي الكلي]]</f>
        <v>0.92350802032479828</v>
      </c>
      <c r="N64" s="19">
        <f>data[[#This Row],[ذكر - غير سعودي]]/data[[#This Row],[غير سعودى الإجمالي]]</f>
        <v>0.97804568870189068</v>
      </c>
    </row>
    <row r="65" spans="1:14" ht="22" customHeight="1">
      <c r="A65" s="18" t="s">
        <v>25</v>
      </c>
      <c r="B65" s="18" t="s">
        <v>18</v>
      </c>
      <c r="C65" s="16">
        <v>1126</v>
      </c>
      <c r="D65" s="16">
        <v>890</v>
      </c>
      <c r="E65" s="16">
        <v>2016</v>
      </c>
      <c r="F65" s="16">
        <v>458</v>
      </c>
      <c r="G65" s="16">
        <v>20592</v>
      </c>
      <c r="H65" s="16">
        <v>21050</v>
      </c>
      <c r="I65" s="16">
        <v>23066</v>
      </c>
      <c r="J65" s="17">
        <f>data[[#This Row],[سعودى الإجمالي]]/data[[#This Row],[الإجمالي الكلي]]</f>
        <v>8.7401369981791377E-2</v>
      </c>
      <c r="K65" s="17">
        <f>data[[#This Row],[أنثى - سعودي]]/data[[#This Row],[سعودى الإجمالي]]</f>
        <v>0.55853174603174605</v>
      </c>
      <c r="L65" s="19">
        <f>data[[#This Row],[ذكر - سعودي]]/data[[#This Row],[سعودى الإجمالي]]</f>
        <v>0.44146825396825395</v>
      </c>
      <c r="M65" s="17">
        <f>data[[#This Row],[غير سعودى الإجمالي]]/data[[#This Row],[الإجمالي الكلي]]</f>
        <v>0.91259863001820862</v>
      </c>
      <c r="N65" s="19">
        <f>data[[#This Row],[ذكر - غير سعودي]]/data[[#This Row],[غير سعودى الإجمالي]]</f>
        <v>0.97824228028503568</v>
      </c>
    </row>
    <row r="66" spans="1:14" ht="22" customHeight="1">
      <c r="A66" s="18" t="s">
        <v>25</v>
      </c>
      <c r="B66" s="18" t="s">
        <v>19</v>
      </c>
      <c r="C66" s="16">
        <v>895</v>
      </c>
      <c r="D66" s="16">
        <v>820</v>
      </c>
      <c r="E66" s="16">
        <v>1715</v>
      </c>
      <c r="F66" s="16">
        <v>259</v>
      </c>
      <c r="G66" s="16">
        <v>13902</v>
      </c>
      <c r="H66" s="16">
        <v>14161</v>
      </c>
      <c r="I66" s="16">
        <v>15876</v>
      </c>
      <c r="J66" s="17">
        <f>data[[#This Row],[سعودى الإجمالي]]/data[[#This Row],[الإجمالي الكلي]]</f>
        <v>0.10802469135802469</v>
      </c>
      <c r="K66" s="17">
        <f>data[[#This Row],[أنثى - سعودي]]/data[[#This Row],[سعودى الإجمالي]]</f>
        <v>0.52186588921282795</v>
      </c>
      <c r="L66" s="19">
        <f>data[[#This Row],[ذكر - سعودي]]/data[[#This Row],[سعودى الإجمالي]]</f>
        <v>0.478134110787172</v>
      </c>
      <c r="M66" s="17">
        <f>data[[#This Row],[غير سعودى الإجمالي]]/data[[#This Row],[الإجمالي الكلي]]</f>
        <v>0.89197530864197527</v>
      </c>
      <c r="N66" s="19">
        <f>data[[#This Row],[ذكر - غير سعودي]]/data[[#This Row],[غير سعودى الإجمالي]]</f>
        <v>0.98171033119130002</v>
      </c>
    </row>
    <row r="67" spans="1:14" ht="22" customHeight="1">
      <c r="A67" s="18" t="s">
        <v>25</v>
      </c>
      <c r="B67" s="18" t="s">
        <v>20</v>
      </c>
      <c r="C67" s="16">
        <v>402</v>
      </c>
      <c r="D67" s="16">
        <v>462</v>
      </c>
      <c r="E67" s="16">
        <v>864</v>
      </c>
      <c r="F67" s="16">
        <v>170</v>
      </c>
      <c r="G67" s="16">
        <v>7109</v>
      </c>
      <c r="H67" s="16">
        <v>7279</v>
      </c>
      <c r="I67" s="16">
        <v>8143</v>
      </c>
      <c r="J67" s="17">
        <f>data[[#This Row],[سعودى الإجمالي]]/data[[#This Row],[الإجمالي الكلي]]</f>
        <v>0.10610340169470711</v>
      </c>
      <c r="K67" s="17">
        <f>data[[#This Row],[أنثى - سعودي]]/data[[#This Row],[سعودى الإجمالي]]</f>
        <v>0.46527777777777779</v>
      </c>
      <c r="L67" s="19">
        <f>data[[#This Row],[ذكر - سعودي]]/data[[#This Row],[سعودى الإجمالي]]</f>
        <v>0.53472222222222221</v>
      </c>
      <c r="M67" s="17">
        <f>data[[#This Row],[غير سعودى الإجمالي]]/data[[#This Row],[الإجمالي الكلي]]</f>
        <v>0.89389659830529289</v>
      </c>
      <c r="N67" s="19">
        <f>data[[#This Row],[ذكر - غير سعودي]]/data[[#This Row],[غير سعودى الإجمالي]]</f>
        <v>0.97664514356367638</v>
      </c>
    </row>
    <row r="68" spans="1:14" ht="22" customHeight="1">
      <c r="A68" s="18" t="s">
        <v>26</v>
      </c>
      <c r="B68" s="18" t="s">
        <v>10</v>
      </c>
      <c r="C68" s="16">
        <v>468</v>
      </c>
      <c r="D68" s="16">
        <v>981</v>
      </c>
      <c r="E68" s="16">
        <v>1449</v>
      </c>
      <c r="F68" s="16">
        <v>8</v>
      </c>
      <c r="G68" s="16">
        <v>54</v>
      </c>
      <c r="H68" s="16">
        <v>62</v>
      </c>
      <c r="I68" s="16">
        <v>1511</v>
      </c>
      <c r="J68" s="17">
        <f>data[[#This Row],[سعودى الإجمالي]]/data[[#This Row],[الإجمالي الكلي]]</f>
        <v>0.95896757114493714</v>
      </c>
      <c r="K68" s="17">
        <f>data[[#This Row],[أنثى - سعودي]]/data[[#This Row],[سعودى الإجمالي]]</f>
        <v>0.32298136645962733</v>
      </c>
      <c r="L68" s="19">
        <f>data[[#This Row],[ذكر - سعودي]]/data[[#This Row],[سعودى الإجمالي]]</f>
        <v>0.67701863354037262</v>
      </c>
      <c r="M68" s="17">
        <f>data[[#This Row],[غير سعودى الإجمالي]]/data[[#This Row],[الإجمالي الكلي]]</f>
        <v>4.103242885506287E-2</v>
      </c>
      <c r="N68" s="19">
        <f>data[[#This Row],[ذكر - غير سعودي]]/data[[#This Row],[غير سعودى الإجمالي]]</f>
        <v>0.87096774193548387</v>
      </c>
    </row>
    <row r="69" spans="1:14" ht="22" customHeight="1">
      <c r="A69" s="18" t="s">
        <v>26</v>
      </c>
      <c r="B69" s="18" t="s">
        <v>11</v>
      </c>
      <c r="C69" s="16">
        <v>201</v>
      </c>
      <c r="D69" s="16">
        <v>330</v>
      </c>
      <c r="E69" s="16">
        <v>531</v>
      </c>
      <c r="F69" s="16">
        <v>249</v>
      </c>
      <c r="G69" s="16">
        <v>8275</v>
      </c>
      <c r="H69" s="16">
        <v>8524</v>
      </c>
      <c r="I69" s="16">
        <v>9055</v>
      </c>
      <c r="J69" s="17">
        <f>data[[#This Row],[سعودى الإجمالي]]/data[[#This Row],[الإجمالي الكلي]]</f>
        <v>5.8641634456101599E-2</v>
      </c>
      <c r="K69" s="17">
        <f>data[[#This Row],[أنثى - سعودي]]/data[[#This Row],[سعودى الإجمالي]]</f>
        <v>0.37853107344632769</v>
      </c>
      <c r="L69" s="19">
        <f>data[[#This Row],[ذكر - سعودي]]/data[[#This Row],[سعودى الإجمالي]]</f>
        <v>0.62146892655367236</v>
      </c>
      <c r="M69" s="17">
        <f>data[[#This Row],[غير سعودى الإجمالي]]/data[[#This Row],[الإجمالي الكلي]]</f>
        <v>0.9413583655438984</v>
      </c>
      <c r="N69" s="19">
        <f>data[[#This Row],[ذكر - غير سعودي]]/data[[#This Row],[غير سعودى الإجمالي]]</f>
        <v>0.97078836227123422</v>
      </c>
    </row>
    <row r="70" spans="1:14" ht="22" customHeight="1">
      <c r="A70" s="18" t="s">
        <v>26</v>
      </c>
      <c r="B70" s="18" t="s">
        <v>12</v>
      </c>
      <c r="C70" s="16">
        <v>4171</v>
      </c>
      <c r="D70" s="16">
        <v>8372</v>
      </c>
      <c r="E70" s="16">
        <v>12543</v>
      </c>
      <c r="F70" s="16">
        <v>555</v>
      </c>
      <c r="G70" s="16">
        <v>16741</v>
      </c>
      <c r="H70" s="16">
        <v>17296</v>
      </c>
      <c r="I70" s="16">
        <v>29839</v>
      </c>
      <c r="J70" s="17">
        <f>data[[#This Row],[سعودى الإجمالي]]/data[[#This Row],[الإجمالي الكلي]]</f>
        <v>0.42035591005060491</v>
      </c>
      <c r="K70" s="17">
        <f>data[[#This Row],[أنثى - سعودي]]/data[[#This Row],[سعودى الإجمالي]]</f>
        <v>0.33253607589890777</v>
      </c>
      <c r="L70" s="19">
        <f>data[[#This Row],[ذكر - سعودي]]/data[[#This Row],[سعودى الإجمالي]]</f>
        <v>0.66746392410109223</v>
      </c>
      <c r="M70" s="17">
        <f>data[[#This Row],[غير سعودى الإجمالي]]/data[[#This Row],[الإجمالي الكلي]]</f>
        <v>0.57964408994939509</v>
      </c>
      <c r="N70" s="19">
        <f>data[[#This Row],[ذكر - غير سعودي]]/data[[#This Row],[غير سعودى الإجمالي]]</f>
        <v>0.96791165587419059</v>
      </c>
    </row>
    <row r="71" spans="1:14" ht="22" customHeight="1">
      <c r="A71" s="18" t="s">
        <v>26</v>
      </c>
      <c r="B71" s="18" t="s">
        <v>13</v>
      </c>
      <c r="C71" s="16">
        <v>7602</v>
      </c>
      <c r="D71" s="16">
        <v>9610</v>
      </c>
      <c r="E71" s="16">
        <v>17212</v>
      </c>
      <c r="F71" s="16">
        <v>1806</v>
      </c>
      <c r="G71" s="16">
        <v>47706</v>
      </c>
      <c r="H71" s="16">
        <v>49512</v>
      </c>
      <c r="I71" s="16">
        <v>66724</v>
      </c>
      <c r="J71" s="17">
        <f>data[[#This Row],[سعودى الإجمالي]]/data[[#This Row],[الإجمالي الكلي]]</f>
        <v>0.25795815598585214</v>
      </c>
      <c r="K71" s="17">
        <f>data[[#This Row],[أنثى - سعودي]]/data[[#This Row],[سعودى الإجمالي]]</f>
        <v>0.44166860330002322</v>
      </c>
      <c r="L71" s="19">
        <f>data[[#This Row],[ذكر - سعودي]]/data[[#This Row],[سعودى الإجمالي]]</f>
        <v>0.55833139669997678</v>
      </c>
      <c r="M71" s="17">
        <f>data[[#This Row],[غير سعودى الإجمالي]]/data[[#This Row],[الإجمالي الكلي]]</f>
        <v>0.74204184401414786</v>
      </c>
      <c r="N71" s="19">
        <f>data[[#This Row],[ذكر - غير سعودي]]/data[[#This Row],[غير سعودى الإجمالي]]</f>
        <v>0.96352399418322832</v>
      </c>
    </row>
    <row r="72" spans="1:14" ht="22" customHeight="1">
      <c r="A72" s="18" t="s">
        <v>26</v>
      </c>
      <c r="B72" s="18" t="s">
        <v>14</v>
      </c>
      <c r="C72" s="16">
        <v>6526</v>
      </c>
      <c r="D72" s="16">
        <v>8367</v>
      </c>
      <c r="E72" s="16">
        <v>14893</v>
      </c>
      <c r="F72" s="16">
        <v>2083</v>
      </c>
      <c r="G72" s="16">
        <v>49209</v>
      </c>
      <c r="H72" s="16">
        <v>51292</v>
      </c>
      <c r="I72" s="16">
        <v>66185</v>
      </c>
      <c r="J72" s="17">
        <f>data[[#This Row],[سعودى الإجمالي]]/data[[#This Row],[الإجمالي الكلي]]</f>
        <v>0.22502077510009821</v>
      </c>
      <c r="K72" s="17">
        <f>data[[#This Row],[أنثى - سعودي]]/data[[#This Row],[سعودى الإجمالي]]</f>
        <v>0.4381924394010609</v>
      </c>
      <c r="L72" s="19">
        <f>data[[#This Row],[ذكر - سعودي]]/data[[#This Row],[سعودى الإجمالي]]</f>
        <v>0.5618075605989391</v>
      </c>
      <c r="M72" s="17">
        <f>data[[#This Row],[غير سعودى الإجمالي]]/data[[#This Row],[الإجمالي الكلي]]</f>
        <v>0.77497922489990179</v>
      </c>
      <c r="N72" s="19">
        <f>data[[#This Row],[ذكر - غير سعودي]]/data[[#This Row],[غير سعودى الإجمالي]]</f>
        <v>0.9593893784605787</v>
      </c>
    </row>
    <row r="73" spans="1:14" ht="22" customHeight="1">
      <c r="A73" s="18" t="s">
        <v>26</v>
      </c>
      <c r="B73" s="18" t="s">
        <v>15</v>
      </c>
      <c r="C73" s="16">
        <v>4640</v>
      </c>
      <c r="D73" s="16">
        <v>6147</v>
      </c>
      <c r="E73" s="16">
        <v>10787</v>
      </c>
      <c r="F73" s="16">
        <v>1887</v>
      </c>
      <c r="G73" s="16">
        <v>54761</v>
      </c>
      <c r="H73" s="16">
        <v>56648</v>
      </c>
      <c r="I73" s="16">
        <v>67435</v>
      </c>
      <c r="J73" s="17">
        <f>data[[#This Row],[سعودى الإجمالي]]/data[[#This Row],[الإجمالي الكلي]]</f>
        <v>0.1599614443538222</v>
      </c>
      <c r="K73" s="17">
        <f>data[[#This Row],[أنثى - سعودي]]/data[[#This Row],[سعودى الإجمالي]]</f>
        <v>0.43014739964772414</v>
      </c>
      <c r="L73" s="19">
        <f>data[[#This Row],[ذكر - سعودي]]/data[[#This Row],[سعودى الإجمالي]]</f>
        <v>0.56985260035227592</v>
      </c>
      <c r="M73" s="17">
        <f>data[[#This Row],[غير سعودى الإجمالي]]/data[[#This Row],[الإجمالي الكلي]]</f>
        <v>0.8400385556461778</v>
      </c>
      <c r="N73" s="19">
        <f>data[[#This Row],[ذكر - غير سعودي]]/data[[#This Row],[غير سعودى الإجمالي]]</f>
        <v>0.96668902697359127</v>
      </c>
    </row>
    <row r="74" spans="1:14" ht="22" customHeight="1">
      <c r="A74" s="18" t="s">
        <v>26</v>
      </c>
      <c r="B74" s="18" t="s">
        <v>16</v>
      </c>
      <c r="C74" s="16">
        <v>3164</v>
      </c>
      <c r="D74" s="16">
        <v>4496</v>
      </c>
      <c r="E74" s="16">
        <v>7660</v>
      </c>
      <c r="F74" s="16">
        <v>1556</v>
      </c>
      <c r="G74" s="16">
        <v>47009</v>
      </c>
      <c r="H74" s="16">
        <v>48565</v>
      </c>
      <c r="I74" s="16">
        <v>56225</v>
      </c>
      <c r="J74" s="17">
        <f>data[[#This Row],[سعودى الإجمالي]]/data[[#This Row],[الإجمالي الكلي]]</f>
        <v>0.13623832814584261</v>
      </c>
      <c r="K74" s="17">
        <f>data[[#This Row],[أنثى - سعودي]]/data[[#This Row],[سعودى الإجمالي]]</f>
        <v>0.41305483028720624</v>
      </c>
      <c r="L74" s="19">
        <f>data[[#This Row],[ذكر - سعودي]]/data[[#This Row],[سعودى الإجمالي]]</f>
        <v>0.58694516971279376</v>
      </c>
      <c r="M74" s="17">
        <f>data[[#This Row],[غير سعودى الإجمالي]]/data[[#This Row],[الإجمالي الكلي]]</f>
        <v>0.86376167185415742</v>
      </c>
      <c r="N74" s="19">
        <f>data[[#This Row],[ذكر - غير سعودي]]/data[[#This Row],[غير سعودى الإجمالي]]</f>
        <v>0.9679604653557089</v>
      </c>
    </row>
    <row r="75" spans="1:14" ht="22" customHeight="1">
      <c r="A75" s="18" t="s">
        <v>26</v>
      </c>
      <c r="B75" s="18" t="s">
        <v>17</v>
      </c>
      <c r="C75" s="16">
        <v>1861</v>
      </c>
      <c r="D75" s="16">
        <v>2789</v>
      </c>
      <c r="E75" s="16">
        <v>4650</v>
      </c>
      <c r="F75" s="16">
        <v>999</v>
      </c>
      <c r="G75" s="16">
        <v>34889</v>
      </c>
      <c r="H75" s="16">
        <v>35888</v>
      </c>
      <c r="I75" s="16">
        <v>40538</v>
      </c>
      <c r="J75" s="17">
        <f>data[[#This Row],[سعودى الإجمالي]]/data[[#This Row],[الإجمالي الكلي]]</f>
        <v>0.11470718831713454</v>
      </c>
      <c r="K75" s="17">
        <f>data[[#This Row],[أنثى - سعودي]]/data[[#This Row],[سعودى الإجمالي]]</f>
        <v>0.40021505376344085</v>
      </c>
      <c r="L75" s="19">
        <f>data[[#This Row],[ذكر - سعودي]]/data[[#This Row],[سعودى الإجمالي]]</f>
        <v>0.59978494623655909</v>
      </c>
      <c r="M75" s="17">
        <f>data[[#This Row],[غير سعودى الإجمالي]]/data[[#This Row],[الإجمالي الكلي]]</f>
        <v>0.88529281168286544</v>
      </c>
      <c r="N75" s="19">
        <f>data[[#This Row],[ذكر - غير سعودي]]/data[[#This Row],[غير سعودى الإجمالي]]</f>
        <v>0.97216339723584488</v>
      </c>
    </row>
    <row r="76" spans="1:14" ht="22" customHeight="1">
      <c r="A76" s="18" t="s">
        <v>26</v>
      </c>
      <c r="B76" s="18" t="s">
        <v>18</v>
      </c>
      <c r="C76" s="16">
        <v>1203</v>
      </c>
      <c r="D76" s="16">
        <v>1621</v>
      </c>
      <c r="E76" s="16">
        <v>2824</v>
      </c>
      <c r="F76" s="16">
        <v>593</v>
      </c>
      <c r="G76" s="16">
        <v>21291</v>
      </c>
      <c r="H76" s="16">
        <v>21884</v>
      </c>
      <c r="I76" s="16">
        <v>24708</v>
      </c>
      <c r="J76" s="17">
        <f>data[[#This Row],[سعودى الإجمالي]]/data[[#This Row],[الإجمالي الكلي]]</f>
        <v>0.11429496519345961</v>
      </c>
      <c r="K76" s="17">
        <f>data[[#This Row],[أنثى - سعودي]]/data[[#This Row],[سعودى الإجمالي]]</f>
        <v>0.42599150141643061</v>
      </c>
      <c r="L76" s="19">
        <f>data[[#This Row],[ذكر - سعودي]]/data[[#This Row],[سعودى الإجمالي]]</f>
        <v>0.57400849858356939</v>
      </c>
      <c r="M76" s="17">
        <f>data[[#This Row],[غير سعودى الإجمالي]]/data[[#This Row],[الإجمالي الكلي]]</f>
        <v>0.88570503480654039</v>
      </c>
      <c r="N76" s="19">
        <f>data[[#This Row],[ذكر - غير سعودي]]/data[[#This Row],[غير سعودى الإجمالي]]</f>
        <v>0.9729025772253701</v>
      </c>
    </row>
    <row r="77" spans="1:14" ht="22" customHeight="1">
      <c r="A77" s="18" t="s">
        <v>26</v>
      </c>
      <c r="B77" s="18" t="s">
        <v>19</v>
      </c>
      <c r="C77" s="16">
        <v>843</v>
      </c>
      <c r="D77" s="16">
        <v>1063</v>
      </c>
      <c r="E77" s="16">
        <v>1906</v>
      </c>
      <c r="F77" s="16">
        <v>436</v>
      </c>
      <c r="G77" s="16">
        <v>16217</v>
      </c>
      <c r="H77" s="16">
        <v>16653</v>
      </c>
      <c r="I77" s="16">
        <v>18559</v>
      </c>
      <c r="J77" s="17">
        <f>data[[#This Row],[سعودى الإجمالي]]/data[[#This Row],[الإجمالي الكلي]]</f>
        <v>0.10269949889541462</v>
      </c>
      <c r="K77" s="17">
        <f>data[[#This Row],[أنثى - سعودي]]/data[[#This Row],[سعودى الإجمالي]]</f>
        <v>0.4422875131164743</v>
      </c>
      <c r="L77" s="19">
        <f>data[[#This Row],[ذكر - سعودي]]/data[[#This Row],[سعودى الإجمالي]]</f>
        <v>0.5577124868835257</v>
      </c>
      <c r="M77" s="17">
        <f>data[[#This Row],[غير سعودى الإجمالي]]/data[[#This Row],[الإجمالي الكلي]]</f>
        <v>0.89730050110458537</v>
      </c>
      <c r="N77" s="19">
        <f>data[[#This Row],[ذكر - غير سعودي]]/data[[#This Row],[غير سعودى الإجمالي]]</f>
        <v>0.97381853119558037</v>
      </c>
    </row>
    <row r="78" spans="1:14" ht="22" customHeight="1">
      <c r="A78" s="18" t="s">
        <v>26</v>
      </c>
      <c r="B78" s="18" t="s">
        <v>20</v>
      </c>
      <c r="C78" s="16">
        <v>403</v>
      </c>
      <c r="D78" s="16">
        <v>554</v>
      </c>
      <c r="E78" s="16">
        <v>957</v>
      </c>
      <c r="F78" s="16">
        <v>256</v>
      </c>
      <c r="G78" s="16">
        <v>9881</v>
      </c>
      <c r="H78" s="16">
        <v>10137</v>
      </c>
      <c r="I78" s="16">
        <v>11094</v>
      </c>
      <c r="J78" s="17">
        <f>data[[#This Row],[سعودى الإجمالي]]/data[[#This Row],[الإجمالي الكلي]]</f>
        <v>8.6262844780962689E-2</v>
      </c>
      <c r="K78" s="17">
        <f>data[[#This Row],[أنثى - سعودي]]/data[[#This Row],[سعودى الإجمالي]]</f>
        <v>0.42110762800417972</v>
      </c>
      <c r="L78" s="19">
        <f>data[[#This Row],[ذكر - سعودي]]/data[[#This Row],[سعودى الإجمالي]]</f>
        <v>0.57889237199582022</v>
      </c>
      <c r="M78" s="17">
        <f>data[[#This Row],[غير سعودى الإجمالي]]/data[[#This Row],[الإجمالي الكلي]]</f>
        <v>0.91373715521903731</v>
      </c>
      <c r="N78" s="19">
        <f>data[[#This Row],[ذكر - غير سعودي]]/data[[#This Row],[غير سعودى الإجمالي]]</f>
        <v>0.97474598007299995</v>
      </c>
    </row>
    <row r="79" spans="1:14" ht="22" customHeight="1">
      <c r="A79" s="18" t="s">
        <v>27</v>
      </c>
      <c r="B79" s="18" t="s">
        <v>10</v>
      </c>
      <c r="C79" s="16">
        <v>151</v>
      </c>
      <c r="D79" s="16">
        <v>371</v>
      </c>
      <c r="E79" s="16">
        <v>522</v>
      </c>
      <c r="F79" s="16">
        <v>0</v>
      </c>
      <c r="G79" s="16">
        <v>25</v>
      </c>
      <c r="H79" s="16">
        <v>25</v>
      </c>
      <c r="I79" s="16">
        <v>547</v>
      </c>
      <c r="J79" s="17">
        <f>data[[#This Row],[سعودى الإجمالي]]/data[[#This Row],[الإجمالي الكلي]]</f>
        <v>0.95429616087751368</v>
      </c>
      <c r="K79" s="17">
        <f>data[[#This Row],[أنثى - سعودي]]/data[[#This Row],[سعودى الإجمالي]]</f>
        <v>0.28927203065134099</v>
      </c>
      <c r="L79" s="19">
        <f>data[[#This Row],[ذكر - سعودي]]/data[[#This Row],[سعودى الإجمالي]]</f>
        <v>0.71072796934865901</v>
      </c>
      <c r="M79" s="17">
        <f>data[[#This Row],[غير سعودى الإجمالي]]/data[[#This Row],[الإجمالي الكلي]]</f>
        <v>4.5703839122486288E-2</v>
      </c>
      <c r="N79" s="19">
        <f>data[[#This Row],[ذكر - غير سعودي]]/data[[#This Row],[غير سعودى الإجمالي]]</f>
        <v>1</v>
      </c>
    </row>
    <row r="80" spans="1:14" ht="22" customHeight="1">
      <c r="A80" s="18" t="s">
        <v>27</v>
      </c>
      <c r="B80" s="18" t="s">
        <v>11</v>
      </c>
      <c r="C80" s="16">
        <v>59</v>
      </c>
      <c r="D80" s="16">
        <v>82</v>
      </c>
      <c r="E80" s="16">
        <v>141</v>
      </c>
      <c r="F80" s="16">
        <v>31</v>
      </c>
      <c r="G80" s="16">
        <v>2620</v>
      </c>
      <c r="H80" s="16">
        <v>2651</v>
      </c>
      <c r="I80" s="16">
        <v>2792</v>
      </c>
      <c r="J80" s="17">
        <f>data[[#This Row],[سعودى الإجمالي]]/data[[#This Row],[الإجمالي الكلي]]</f>
        <v>5.050143266475645E-2</v>
      </c>
      <c r="K80" s="17">
        <f>data[[#This Row],[أنثى - سعودي]]/data[[#This Row],[سعودى الإجمالي]]</f>
        <v>0.41843971631205673</v>
      </c>
      <c r="L80" s="19">
        <f>data[[#This Row],[ذكر - سعودي]]/data[[#This Row],[سعودى الإجمالي]]</f>
        <v>0.58156028368794321</v>
      </c>
      <c r="M80" s="17">
        <f>data[[#This Row],[غير سعودى الإجمالي]]/data[[#This Row],[الإجمالي الكلي]]</f>
        <v>0.94949856733524352</v>
      </c>
      <c r="N80" s="19">
        <f>data[[#This Row],[ذكر - غير سعودي]]/data[[#This Row],[غير سعودى الإجمالي]]</f>
        <v>0.98830629950961901</v>
      </c>
    </row>
    <row r="81" spans="1:14" ht="22" customHeight="1">
      <c r="A81" s="18" t="s">
        <v>27</v>
      </c>
      <c r="B81" s="18" t="s">
        <v>12</v>
      </c>
      <c r="C81" s="16">
        <v>1534</v>
      </c>
      <c r="D81" s="16">
        <v>2710</v>
      </c>
      <c r="E81" s="16">
        <v>4244</v>
      </c>
      <c r="F81" s="16">
        <v>150</v>
      </c>
      <c r="G81" s="16">
        <v>7380</v>
      </c>
      <c r="H81" s="16">
        <v>7530</v>
      </c>
      <c r="I81" s="16">
        <v>11774</v>
      </c>
      <c r="J81" s="17">
        <f>data[[#This Row],[سعودى الإجمالي]]/data[[#This Row],[الإجمالي الكلي]]</f>
        <v>0.3604552403601155</v>
      </c>
      <c r="K81" s="17">
        <f>data[[#This Row],[أنثى - سعودي]]/data[[#This Row],[سعودى الإجمالي]]</f>
        <v>0.36145146088595664</v>
      </c>
      <c r="L81" s="19">
        <f>data[[#This Row],[ذكر - سعودي]]/data[[#This Row],[سعودى الإجمالي]]</f>
        <v>0.6385485391140433</v>
      </c>
      <c r="M81" s="17">
        <f>data[[#This Row],[غير سعودى الإجمالي]]/data[[#This Row],[الإجمالي الكلي]]</f>
        <v>0.63954475963988444</v>
      </c>
      <c r="N81" s="19">
        <f>data[[#This Row],[ذكر - غير سعودي]]/data[[#This Row],[غير سعودى الإجمالي]]</f>
        <v>0.98007968127490042</v>
      </c>
    </row>
    <row r="82" spans="1:14" ht="22" customHeight="1">
      <c r="A82" s="18" t="s">
        <v>27</v>
      </c>
      <c r="B82" s="18" t="s">
        <v>13</v>
      </c>
      <c r="C82" s="16">
        <v>2775</v>
      </c>
      <c r="D82" s="16">
        <v>3084</v>
      </c>
      <c r="E82" s="16">
        <v>5859</v>
      </c>
      <c r="F82" s="16">
        <v>482</v>
      </c>
      <c r="G82" s="16">
        <v>20057</v>
      </c>
      <c r="H82" s="16">
        <v>20539</v>
      </c>
      <c r="I82" s="16">
        <v>26398</v>
      </c>
      <c r="J82" s="17">
        <f>data[[#This Row],[سعودى الإجمالي]]/data[[#This Row],[الإجمالي الكلي]]</f>
        <v>0.22194863247215699</v>
      </c>
      <c r="K82" s="17">
        <f>data[[#This Row],[أنثى - سعودي]]/data[[#This Row],[سعودى الإجمالي]]</f>
        <v>0.47363031233998976</v>
      </c>
      <c r="L82" s="19">
        <f>data[[#This Row],[ذكر - سعودي]]/data[[#This Row],[سعودى الإجمالي]]</f>
        <v>0.52636968766001024</v>
      </c>
      <c r="M82" s="17">
        <f>data[[#This Row],[غير سعودى الإجمالي]]/data[[#This Row],[الإجمالي الكلي]]</f>
        <v>0.77805136752784299</v>
      </c>
      <c r="N82" s="19">
        <f>data[[#This Row],[ذكر - غير سعودي]]/data[[#This Row],[غير سعودى الإجمالي]]</f>
        <v>0.97653245046010029</v>
      </c>
    </row>
    <row r="83" spans="1:14" ht="22" customHeight="1">
      <c r="A83" s="18" t="s">
        <v>27</v>
      </c>
      <c r="B83" s="18" t="s">
        <v>14</v>
      </c>
      <c r="C83" s="16">
        <v>2450</v>
      </c>
      <c r="D83" s="16">
        <v>2332</v>
      </c>
      <c r="E83" s="16">
        <v>4782</v>
      </c>
      <c r="F83" s="16">
        <v>555</v>
      </c>
      <c r="G83" s="16">
        <v>19920</v>
      </c>
      <c r="H83" s="16">
        <v>20475</v>
      </c>
      <c r="I83" s="16">
        <v>25257</v>
      </c>
      <c r="J83" s="17">
        <f>data[[#This Row],[سعودى الإجمالي]]/data[[#This Row],[الإجمالي الكلي]]</f>
        <v>0.18933365007720632</v>
      </c>
      <c r="K83" s="17">
        <f>data[[#This Row],[أنثى - سعودي]]/data[[#This Row],[سعودى الإجمالي]]</f>
        <v>0.5123379339188624</v>
      </c>
      <c r="L83" s="19">
        <f>data[[#This Row],[ذكر - سعودي]]/data[[#This Row],[سعودى الإجمالي]]</f>
        <v>0.4876620660811376</v>
      </c>
      <c r="M83" s="17">
        <f>data[[#This Row],[غير سعودى الإجمالي]]/data[[#This Row],[الإجمالي الكلي]]</f>
        <v>0.81066634992279363</v>
      </c>
      <c r="N83" s="19">
        <f>data[[#This Row],[ذكر - غير سعودي]]/data[[#This Row],[غير سعودى الإجمالي]]</f>
        <v>0.97289377289377288</v>
      </c>
    </row>
    <row r="84" spans="1:14" ht="22" customHeight="1">
      <c r="A84" s="18" t="s">
        <v>27</v>
      </c>
      <c r="B84" s="18" t="s">
        <v>15</v>
      </c>
      <c r="C84" s="16">
        <v>1708</v>
      </c>
      <c r="D84" s="16">
        <v>1911</v>
      </c>
      <c r="E84" s="16">
        <v>3619</v>
      </c>
      <c r="F84" s="16">
        <v>460</v>
      </c>
      <c r="G84" s="16">
        <v>20910</v>
      </c>
      <c r="H84" s="16">
        <v>21370</v>
      </c>
      <c r="I84" s="16">
        <v>24989</v>
      </c>
      <c r="J84" s="17">
        <f>data[[#This Row],[سعودى الإجمالي]]/data[[#This Row],[الإجمالي الكلي]]</f>
        <v>0.14482372243787267</v>
      </c>
      <c r="K84" s="17">
        <f>data[[#This Row],[أنثى - سعودي]]/data[[#This Row],[سعودى الإجمالي]]</f>
        <v>0.47195357833655704</v>
      </c>
      <c r="L84" s="19">
        <f>data[[#This Row],[ذكر - سعودي]]/data[[#This Row],[سعودى الإجمالي]]</f>
        <v>0.52804642166344296</v>
      </c>
      <c r="M84" s="17">
        <f>data[[#This Row],[غير سعودى الإجمالي]]/data[[#This Row],[الإجمالي الكلي]]</f>
        <v>0.85517627756212733</v>
      </c>
      <c r="N84" s="19">
        <f>data[[#This Row],[ذكر - غير سعودي]]/data[[#This Row],[غير سعودى الإجمالي]]</f>
        <v>0.97847449695835287</v>
      </c>
    </row>
    <row r="85" spans="1:14" ht="22" customHeight="1">
      <c r="A85" s="18" t="s">
        <v>27</v>
      </c>
      <c r="B85" s="18" t="s">
        <v>16</v>
      </c>
      <c r="C85" s="16">
        <v>1181</v>
      </c>
      <c r="D85" s="16">
        <v>1566</v>
      </c>
      <c r="E85" s="16">
        <v>2747</v>
      </c>
      <c r="F85" s="16">
        <v>342</v>
      </c>
      <c r="G85" s="16">
        <v>17536</v>
      </c>
      <c r="H85" s="16">
        <v>17878</v>
      </c>
      <c r="I85" s="16">
        <v>20625</v>
      </c>
      <c r="J85" s="17">
        <f>data[[#This Row],[سعودى الإجمالي]]/data[[#This Row],[الإجمالي الكلي]]</f>
        <v>0.1331878787878788</v>
      </c>
      <c r="K85" s="17">
        <f>data[[#This Row],[أنثى - سعودي]]/data[[#This Row],[سعودى الإجمالي]]</f>
        <v>0.42992355296687296</v>
      </c>
      <c r="L85" s="19">
        <f>data[[#This Row],[ذكر - سعودي]]/data[[#This Row],[سعودى الإجمالي]]</f>
        <v>0.5700764470331271</v>
      </c>
      <c r="M85" s="17">
        <f>data[[#This Row],[غير سعودى الإجمالي]]/data[[#This Row],[الإجمالي الكلي]]</f>
        <v>0.86681212121212126</v>
      </c>
      <c r="N85" s="19">
        <f>data[[#This Row],[ذكر - غير سعودي]]/data[[#This Row],[غير سعودى الإجمالي]]</f>
        <v>0.98087034343886337</v>
      </c>
    </row>
    <row r="86" spans="1:14" ht="22" customHeight="1">
      <c r="A86" s="18" t="s">
        <v>27</v>
      </c>
      <c r="B86" s="18" t="s">
        <v>17</v>
      </c>
      <c r="C86" s="16">
        <v>613</v>
      </c>
      <c r="D86" s="16">
        <v>1024</v>
      </c>
      <c r="E86" s="16">
        <v>1637</v>
      </c>
      <c r="F86" s="16">
        <v>199</v>
      </c>
      <c r="G86" s="16">
        <v>12613</v>
      </c>
      <c r="H86" s="16">
        <v>12812</v>
      </c>
      <c r="I86" s="16">
        <v>14449</v>
      </c>
      <c r="J86" s="17">
        <f>data[[#This Row],[سعودى الإجمالي]]/data[[#This Row],[الإجمالي الكلي]]</f>
        <v>0.11329503771887328</v>
      </c>
      <c r="K86" s="17">
        <f>data[[#This Row],[أنثى - سعودي]]/data[[#This Row],[سعودى الإجمالي]]</f>
        <v>0.37446548564447157</v>
      </c>
      <c r="L86" s="19">
        <f>data[[#This Row],[ذكر - سعودي]]/data[[#This Row],[سعودى الإجمالي]]</f>
        <v>0.62553451435552843</v>
      </c>
      <c r="M86" s="17">
        <f>data[[#This Row],[غير سعودى الإجمالي]]/data[[#This Row],[الإجمالي الكلي]]</f>
        <v>0.88670496228112672</v>
      </c>
      <c r="N86" s="19">
        <f>data[[#This Row],[ذكر - غير سعودي]]/data[[#This Row],[غير سعودى الإجمالي]]</f>
        <v>0.98446768654386507</v>
      </c>
    </row>
    <row r="87" spans="1:14" ht="22" customHeight="1">
      <c r="A87" s="18" t="s">
        <v>27</v>
      </c>
      <c r="B87" s="18" t="s">
        <v>18</v>
      </c>
      <c r="C87" s="16">
        <v>355</v>
      </c>
      <c r="D87" s="16">
        <v>498</v>
      </c>
      <c r="E87" s="16">
        <v>853</v>
      </c>
      <c r="F87" s="16">
        <v>125</v>
      </c>
      <c r="G87" s="16">
        <v>7736</v>
      </c>
      <c r="H87" s="16">
        <v>7861</v>
      </c>
      <c r="I87" s="16">
        <v>8714</v>
      </c>
      <c r="J87" s="17">
        <f>data[[#This Row],[سعودى الإجمالي]]/data[[#This Row],[الإجمالي الكلي]]</f>
        <v>9.7888455359192106E-2</v>
      </c>
      <c r="K87" s="17">
        <f>data[[#This Row],[أنثى - سعودي]]/data[[#This Row],[سعودى الإجمالي]]</f>
        <v>0.41617819460726846</v>
      </c>
      <c r="L87" s="19">
        <f>data[[#This Row],[ذكر - سعودي]]/data[[#This Row],[سعودى الإجمالي]]</f>
        <v>0.58382180539273154</v>
      </c>
      <c r="M87" s="17">
        <f>data[[#This Row],[غير سعودى الإجمالي]]/data[[#This Row],[الإجمالي الكلي]]</f>
        <v>0.90211154464080789</v>
      </c>
      <c r="N87" s="19">
        <f>data[[#This Row],[ذكر - غير سعودي]]/data[[#This Row],[غير سعودى الإجمالي]]</f>
        <v>0.98409871517618619</v>
      </c>
    </row>
    <row r="88" spans="1:14" ht="22" customHeight="1">
      <c r="A88" s="18" t="s">
        <v>27</v>
      </c>
      <c r="B88" s="18" t="s">
        <v>19</v>
      </c>
      <c r="C88" s="16">
        <v>272</v>
      </c>
      <c r="D88" s="16">
        <v>459</v>
      </c>
      <c r="E88" s="16">
        <v>731</v>
      </c>
      <c r="F88" s="16">
        <v>93</v>
      </c>
      <c r="G88" s="16">
        <v>6060</v>
      </c>
      <c r="H88" s="16">
        <v>6153</v>
      </c>
      <c r="I88" s="16">
        <v>6884</v>
      </c>
      <c r="J88" s="17">
        <f>data[[#This Row],[سعودى الإجمالي]]/data[[#This Row],[الإجمالي الكلي]]</f>
        <v>0.10618826263800116</v>
      </c>
      <c r="K88" s="17">
        <f>data[[#This Row],[أنثى - سعودي]]/data[[#This Row],[سعودى الإجمالي]]</f>
        <v>0.37209302325581395</v>
      </c>
      <c r="L88" s="19">
        <f>data[[#This Row],[ذكر - سعودي]]/data[[#This Row],[سعودى الإجمالي]]</f>
        <v>0.62790697674418605</v>
      </c>
      <c r="M88" s="17">
        <f>data[[#This Row],[غير سعودى الإجمالي]]/data[[#This Row],[الإجمالي الكلي]]</f>
        <v>0.89381173736199881</v>
      </c>
      <c r="N88" s="19">
        <f>data[[#This Row],[ذكر - غير سعودي]]/data[[#This Row],[غير سعودى الإجمالي]]</f>
        <v>0.98488542174548999</v>
      </c>
    </row>
    <row r="89" spans="1:14" ht="22" customHeight="1">
      <c r="A89" s="18" t="s">
        <v>27</v>
      </c>
      <c r="B89" s="18" t="s">
        <v>20</v>
      </c>
      <c r="C89" s="16">
        <v>113</v>
      </c>
      <c r="D89" s="16">
        <v>220</v>
      </c>
      <c r="E89" s="16">
        <v>333</v>
      </c>
      <c r="F89" s="16">
        <v>46</v>
      </c>
      <c r="G89" s="16">
        <v>3483</v>
      </c>
      <c r="H89" s="16">
        <v>3529</v>
      </c>
      <c r="I89" s="16">
        <v>3862</v>
      </c>
      <c r="J89" s="17">
        <f>data[[#This Row],[سعودى الإجمالي]]/data[[#This Row],[الإجمالي الكلي]]</f>
        <v>8.6224754013464522E-2</v>
      </c>
      <c r="K89" s="17">
        <f>data[[#This Row],[أنثى - سعودي]]/data[[#This Row],[سعودى الإجمالي]]</f>
        <v>0.33933933933933935</v>
      </c>
      <c r="L89" s="19">
        <f>data[[#This Row],[ذكر - سعودي]]/data[[#This Row],[سعودى الإجمالي]]</f>
        <v>0.66066066066066065</v>
      </c>
      <c r="M89" s="17">
        <f>data[[#This Row],[غير سعودى الإجمالي]]/data[[#This Row],[الإجمالي الكلي]]</f>
        <v>0.91377524598653548</v>
      </c>
      <c r="N89" s="19">
        <f>data[[#This Row],[ذكر - غير سعودي]]/data[[#This Row],[غير سعودى الإجمالي]]</f>
        <v>0.98696514593369222</v>
      </c>
    </row>
    <row r="90" spans="1:14" ht="22" customHeight="1">
      <c r="A90" s="18" t="s">
        <v>28</v>
      </c>
      <c r="B90" s="18" t="s">
        <v>10</v>
      </c>
      <c r="C90" s="16">
        <v>206</v>
      </c>
      <c r="D90" s="16">
        <v>423</v>
      </c>
      <c r="E90" s="16">
        <v>629</v>
      </c>
      <c r="F90" s="16">
        <v>7</v>
      </c>
      <c r="G90" s="16">
        <v>88</v>
      </c>
      <c r="H90" s="16">
        <v>95</v>
      </c>
      <c r="I90" s="16">
        <v>724</v>
      </c>
      <c r="J90" s="17">
        <f>data[[#This Row],[سعودى الإجمالي]]/data[[#This Row],[الإجمالي الكلي]]</f>
        <v>0.86878453038674031</v>
      </c>
      <c r="K90" s="17">
        <f>data[[#This Row],[أنثى - سعودي]]/data[[#This Row],[سعودى الإجمالي]]</f>
        <v>0.32750397456279812</v>
      </c>
      <c r="L90" s="19">
        <f>data[[#This Row],[ذكر - سعودي]]/data[[#This Row],[سعودى الإجمالي]]</f>
        <v>0.67249602543720188</v>
      </c>
      <c r="M90" s="17">
        <f>data[[#This Row],[غير سعودى الإجمالي]]/data[[#This Row],[الإجمالي الكلي]]</f>
        <v>0.13121546961325967</v>
      </c>
      <c r="N90" s="19">
        <f>data[[#This Row],[ذكر - غير سعودي]]/data[[#This Row],[غير سعودى الإجمالي]]</f>
        <v>0.9263157894736842</v>
      </c>
    </row>
    <row r="91" spans="1:14" ht="22" customHeight="1">
      <c r="A91" s="18" t="s">
        <v>28</v>
      </c>
      <c r="B91" s="18" t="s">
        <v>11</v>
      </c>
      <c r="C91" s="16">
        <v>54</v>
      </c>
      <c r="D91" s="16">
        <v>66</v>
      </c>
      <c r="E91" s="16">
        <v>120</v>
      </c>
      <c r="F91" s="16">
        <v>55</v>
      </c>
      <c r="G91" s="16">
        <v>3742</v>
      </c>
      <c r="H91" s="16">
        <v>3797</v>
      </c>
      <c r="I91" s="16">
        <v>3917</v>
      </c>
      <c r="J91" s="17">
        <f>data[[#This Row],[سعودى الإجمالي]]/data[[#This Row],[الإجمالي الكلي]]</f>
        <v>3.0635690579525147E-2</v>
      </c>
      <c r="K91" s="17">
        <f>data[[#This Row],[أنثى - سعودي]]/data[[#This Row],[سعودى الإجمالي]]</f>
        <v>0.45</v>
      </c>
      <c r="L91" s="19">
        <f>data[[#This Row],[ذكر - سعودي]]/data[[#This Row],[سعودى الإجمالي]]</f>
        <v>0.55000000000000004</v>
      </c>
      <c r="M91" s="17">
        <f>data[[#This Row],[غير سعودى الإجمالي]]/data[[#This Row],[الإجمالي الكلي]]</f>
        <v>0.9693643094204748</v>
      </c>
      <c r="N91" s="19">
        <f>data[[#This Row],[ذكر - غير سعودي]]/data[[#This Row],[غير سعودى الإجمالي]]</f>
        <v>0.98551488016855415</v>
      </c>
    </row>
    <row r="92" spans="1:14" ht="22" customHeight="1">
      <c r="A92" s="18" t="s">
        <v>28</v>
      </c>
      <c r="B92" s="18" t="s">
        <v>12</v>
      </c>
      <c r="C92" s="16">
        <v>1533</v>
      </c>
      <c r="D92" s="16">
        <v>2637</v>
      </c>
      <c r="E92" s="16">
        <v>4170</v>
      </c>
      <c r="F92" s="16">
        <v>182</v>
      </c>
      <c r="G92" s="16">
        <v>8674</v>
      </c>
      <c r="H92" s="16">
        <v>8856</v>
      </c>
      <c r="I92" s="16">
        <v>13026</v>
      </c>
      <c r="J92" s="17">
        <f>data[[#This Row],[سعودى الإجمالي]]/data[[#This Row],[الإجمالي الكلي]]</f>
        <v>0.3201289728235836</v>
      </c>
      <c r="K92" s="17">
        <f>data[[#This Row],[أنثى - سعودي]]/data[[#This Row],[سعودى الإجمالي]]</f>
        <v>0.36762589928057554</v>
      </c>
      <c r="L92" s="19">
        <f>data[[#This Row],[ذكر - سعودي]]/data[[#This Row],[سعودى الإجمالي]]</f>
        <v>0.63237410071942446</v>
      </c>
      <c r="M92" s="17">
        <f>data[[#This Row],[غير سعودى الإجمالي]]/data[[#This Row],[الإجمالي الكلي]]</f>
        <v>0.67987102717641634</v>
      </c>
      <c r="N92" s="19">
        <f>data[[#This Row],[ذكر - غير سعودي]]/data[[#This Row],[غير سعودى الإجمالي]]</f>
        <v>0.97944896115627822</v>
      </c>
    </row>
    <row r="93" spans="1:14" ht="22" customHeight="1">
      <c r="A93" s="18" t="s">
        <v>28</v>
      </c>
      <c r="B93" s="18" t="s">
        <v>13</v>
      </c>
      <c r="C93" s="16">
        <v>2661</v>
      </c>
      <c r="D93" s="16">
        <v>2774</v>
      </c>
      <c r="E93" s="16">
        <v>5435</v>
      </c>
      <c r="F93" s="16">
        <v>626</v>
      </c>
      <c r="G93" s="16">
        <v>25543</v>
      </c>
      <c r="H93" s="16">
        <v>26169</v>
      </c>
      <c r="I93" s="16">
        <v>31604</v>
      </c>
      <c r="J93" s="17">
        <f>data[[#This Row],[سعودى الإجمالي]]/data[[#This Row],[الإجمالي الكلي]]</f>
        <v>0.17197190229084927</v>
      </c>
      <c r="K93" s="17">
        <f>data[[#This Row],[أنثى - سعودي]]/data[[#This Row],[سعودى الإجمالي]]</f>
        <v>0.48960441582336706</v>
      </c>
      <c r="L93" s="19">
        <f>data[[#This Row],[ذكر - سعودي]]/data[[#This Row],[سعودى الإجمالي]]</f>
        <v>0.51039558417663289</v>
      </c>
      <c r="M93" s="17">
        <f>data[[#This Row],[غير سعودى الإجمالي]]/data[[#This Row],[الإجمالي الكلي]]</f>
        <v>0.82802809770915076</v>
      </c>
      <c r="N93" s="19">
        <f>data[[#This Row],[ذكر - غير سعودي]]/data[[#This Row],[غير سعودى الإجمالي]]</f>
        <v>0.97607856624250067</v>
      </c>
    </row>
    <row r="94" spans="1:14" ht="22" customHeight="1">
      <c r="A94" s="18" t="s">
        <v>28</v>
      </c>
      <c r="B94" s="18" t="s">
        <v>14</v>
      </c>
      <c r="C94" s="16">
        <v>2529</v>
      </c>
      <c r="D94" s="16">
        <v>2290</v>
      </c>
      <c r="E94" s="16">
        <v>4819</v>
      </c>
      <c r="F94" s="16">
        <v>756</v>
      </c>
      <c r="G94" s="16">
        <v>24856</v>
      </c>
      <c r="H94" s="16">
        <v>25612</v>
      </c>
      <c r="I94" s="16">
        <v>30431</v>
      </c>
      <c r="J94" s="17">
        <f>data[[#This Row],[سعودى الإجمالي]]/data[[#This Row],[الإجمالي الكلي]]</f>
        <v>0.15835825309717064</v>
      </c>
      <c r="K94" s="17">
        <f>data[[#This Row],[أنثى - سعودي]]/data[[#This Row],[سعودى الإجمالي]]</f>
        <v>0.52479767586636228</v>
      </c>
      <c r="L94" s="19">
        <f>data[[#This Row],[ذكر - سعودي]]/data[[#This Row],[سعودى الإجمالي]]</f>
        <v>0.47520232413363767</v>
      </c>
      <c r="M94" s="17">
        <f>data[[#This Row],[غير سعودى الإجمالي]]/data[[#This Row],[الإجمالي الكلي]]</f>
        <v>0.84164174690282934</v>
      </c>
      <c r="N94" s="19">
        <f>data[[#This Row],[ذكر - غير سعودي]]/data[[#This Row],[غير سعودى الإجمالي]]</f>
        <v>0.9704825862876777</v>
      </c>
    </row>
    <row r="95" spans="1:14" ht="22" customHeight="1">
      <c r="A95" s="18" t="s">
        <v>28</v>
      </c>
      <c r="B95" s="18" t="s">
        <v>15</v>
      </c>
      <c r="C95" s="16">
        <v>1799</v>
      </c>
      <c r="D95" s="16">
        <v>1589</v>
      </c>
      <c r="E95" s="16">
        <v>3388</v>
      </c>
      <c r="F95" s="16">
        <v>791</v>
      </c>
      <c r="G95" s="16">
        <v>27866</v>
      </c>
      <c r="H95" s="16">
        <v>28657</v>
      </c>
      <c r="I95" s="16">
        <v>32045</v>
      </c>
      <c r="J95" s="17">
        <f>data[[#This Row],[سعودى الإجمالي]]/data[[#This Row],[الإجمالي الكلي]]</f>
        <v>0.1057263223591824</v>
      </c>
      <c r="K95" s="17">
        <f>data[[#This Row],[أنثى - سعودي]]/data[[#This Row],[سعودى الإجمالي]]</f>
        <v>0.53099173553719003</v>
      </c>
      <c r="L95" s="19">
        <f>data[[#This Row],[ذكر - سعودي]]/data[[#This Row],[سعودى الإجمالي]]</f>
        <v>0.46900826446280991</v>
      </c>
      <c r="M95" s="17">
        <f>data[[#This Row],[غير سعودى الإجمالي]]/data[[#This Row],[الإجمالي الكلي]]</f>
        <v>0.89427367764081755</v>
      </c>
      <c r="N95" s="19">
        <f>data[[#This Row],[ذكر - غير سعودي]]/data[[#This Row],[غير سعودى الإجمالي]]</f>
        <v>0.97239766898140068</v>
      </c>
    </row>
    <row r="96" spans="1:14" ht="22" customHeight="1">
      <c r="A96" s="18" t="s">
        <v>28</v>
      </c>
      <c r="B96" s="18" t="s">
        <v>16</v>
      </c>
      <c r="C96" s="16">
        <v>1414</v>
      </c>
      <c r="D96" s="16">
        <v>1077</v>
      </c>
      <c r="E96" s="16">
        <v>2491</v>
      </c>
      <c r="F96" s="16">
        <v>576</v>
      </c>
      <c r="G96" s="16">
        <v>23544</v>
      </c>
      <c r="H96" s="16">
        <v>24120</v>
      </c>
      <c r="I96" s="16">
        <v>26611</v>
      </c>
      <c r="J96" s="17">
        <f>data[[#This Row],[سعودى الإجمالي]]/data[[#This Row],[الإجمالي الكلي]]</f>
        <v>9.3607906504828836E-2</v>
      </c>
      <c r="K96" s="17">
        <f>data[[#This Row],[أنثى - سعودي]]/data[[#This Row],[سعودى الإجمالي]]</f>
        <v>0.56764351665997592</v>
      </c>
      <c r="L96" s="19">
        <f>data[[#This Row],[ذكر - سعودي]]/data[[#This Row],[سعودى الإجمالي]]</f>
        <v>0.43235648334002408</v>
      </c>
      <c r="M96" s="17">
        <f>data[[#This Row],[غير سعودى الإجمالي]]/data[[#This Row],[الإجمالي الكلي]]</f>
        <v>0.90639209349517114</v>
      </c>
      <c r="N96" s="19">
        <f>data[[#This Row],[ذكر - غير سعودي]]/data[[#This Row],[غير سعودى الإجمالي]]</f>
        <v>0.9761194029850746</v>
      </c>
    </row>
    <row r="97" spans="1:14" ht="22" customHeight="1">
      <c r="A97" s="18" t="s">
        <v>28</v>
      </c>
      <c r="B97" s="18" t="s">
        <v>17</v>
      </c>
      <c r="C97" s="16">
        <v>650</v>
      </c>
      <c r="D97" s="16">
        <v>659</v>
      </c>
      <c r="E97" s="16">
        <v>1309</v>
      </c>
      <c r="F97" s="16">
        <v>353</v>
      </c>
      <c r="G97" s="16">
        <v>17391</v>
      </c>
      <c r="H97" s="16">
        <v>17744</v>
      </c>
      <c r="I97" s="16">
        <v>19053</v>
      </c>
      <c r="J97" s="17">
        <f>data[[#This Row],[سعودى الإجمالي]]/data[[#This Row],[الإجمالي الكلي]]</f>
        <v>6.8703091376686093E-2</v>
      </c>
      <c r="K97" s="17">
        <f>data[[#This Row],[أنثى - سعودي]]/data[[#This Row],[سعودى الإجمالي]]</f>
        <v>0.49656226126814362</v>
      </c>
      <c r="L97" s="19">
        <f>data[[#This Row],[ذكر - سعودي]]/data[[#This Row],[سعودى الإجمالي]]</f>
        <v>0.50343773873185638</v>
      </c>
      <c r="M97" s="17">
        <f>data[[#This Row],[غير سعودى الإجمالي]]/data[[#This Row],[الإجمالي الكلي]]</f>
        <v>0.93129690862331393</v>
      </c>
      <c r="N97" s="19">
        <f>data[[#This Row],[ذكر - غير سعودي]]/data[[#This Row],[غير سعودى الإجمالي]]</f>
        <v>0.98010595130748424</v>
      </c>
    </row>
    <row r="98" spans="1:14" ht="22" customHeight="1">
      <c r="A98" s="18" t="s">
        <v>28</v>
      </c>
      <c r="B98" s="18" t="s">
        <v>18</v>
      </c>
      <c r="C98" s="16">
        <v>360</v>
      </c>
      <c r="D98" s="16">
        <v>336</v>
      </c>
      <c r="E98" s="16">
        <v>696</v>
      </c>
      <c r="F98" s="16">
        <v>180</v>
      </c>
      <c r="G98" s="16">
        <v>10001</v>
      </c>
      <c r="H98" s="16">
        <v>10181</v>
      </c>
      <c r="I98" s="16">
        <v>10877</v>
      </c>
      <c r="J98" s="17">
        <f>data[[#This Row],[سعودى الإجمالي]]/data[[#This Row],[الإجمالي الكلي]]</f>
        <v>6.3988232049278296E-2</v>
      </c>
      <c r="K98" s="17">
        <f>data[[#This Row],[أنثى - سعودي]]/data[[#This Row],[سعودى الإجمالي]]</f>
        <v>0.51724137931034486</v>
      </c>
      <c r="L98" s="19">
        <f>data[[#This Row],[ذكر - سعودي]]/data[[#This Row],[سعودى الإجمالي]]</f>
        <v>0.48275862068965519</v>
      </c>
      <c r="M98" s="17">
        <f>data[[#This Row],[غير سعودى الإجمالي]]/data[[#This Row],[الإجمالي الكلي]]</f>
        <v>0.93601176795072172</v>
      </c>
      <c r="N98" s="19">
        <f>data[[#This Row],[ذكر - غير سعودي]]/data[[#This Row],[غير سعودى الإجمالي]]</f>
        <v>0.98232000785777429</v>
      </c>
    </row>
    <row r="99" spans="1:14" ht="22" customHeight="1">
      <c r="A99" s="18" t="s">
        <v>28</v>
      </c>
      <c r="B99" s="18" t="s">
        <v>19</v>
      </c>
      <c r="C99" s="16">
        <v>279</v>
      </c>
      <c r="D99" s="16">
        <v>299</v>
      </c>
      <c r="E99" s="16">
        <v>578</v>
      </c>
      <c r="F99" s="16">
        <v>134</v>
      </c>
      <c r="G99" s="16">
        <v>7253</v>
      </c>
      <c r="H99" s="16">
        <v>7387</v>
      </c>
      <c r="I99" s="16">
        <v>7965</v>
      </c>
      <c r="J99" s="17">
        <f>data[[#This Row],[سعودى الإجمالي]]/data[[#This Row],[الإجمالي الكلي]]</f>
        <v>7.2567482736974262E-2</v>
      </c>
      <c r="K99" s="17">
        <f>data[[#This Row],[أنثى - سعودي]]/data[[#This Row],[سعودى الإجمالي]]</f>
        <v>0.48269896193771628</v>
      </c>
      <c r="L99" s="19">
        <f>data[[#This Row],[ذكر - سعودي]]/data[[#This Row],[سعودى الإجمالي]]</f>
        <v>0.51730103806228378</v>
      </c>
      <c r="M99" s="17">
        <f>data[[#This Row],[غير سعودى الإجمالي]]/data[[#This Row],[الإجمالي الكلي]]</f>
        <v>0.92743251726302578</v>
      </c>
      <c r="N99" s="19">
        <f>data[[#This Row],[ذكر - غير سعودي]]/data[[#This Row],[غير سعودى الإجمالي]]</f>
        <v>0.98186002436713149</v>
      </c>
    </row>
    <row r="100" spans="1:14" ht="22" customHeight="1">
      <c r="A100" s="18" t="s">
        <v>28</v>
      </c>
      <c r="B100" s="18" t="s">
        <v>20</v>
      </c>
      <c r="C100" s="16">
        <v>123</v>
      </c>
      <c r="D100" s="16">
        <v>131</v>
      </c>
      <c r="E100" s="16">
        <v>254</v>
      </c>
      <c r="F100" s="16">
        <v>69</v>
      </c>
      <c r="G100" s="16">
        <v>4567</v>
      </c>
      <c r="H100" s="16">
        <v>4636</v>
      </c>
      <c r="I100" s="16">
        <v>4890</v>
      </c>
      <c r="J100" s="17">
        <f>data[[#This Row],[سعودى الإجمالي]]/data[[#This Row],[الإجمالي الكلي]]</f>
        <v>5.1942740286298569E-2</v>
      </c>
      <c r="K100" s="17">
        <f>data[[#This Row],[أنثى - سعودي]]/data[[#This Row],[سعودى الإجمالي]]</f>
        <v>0.48425196850393698</v>
      </c>
      <c r="L100" s="19">
        <f>data[[#This Row],[ذكر - سعودي]]/data[[#This Row],[سعودى الإجمالي]]</f>
        <v>0.51574803149606296</v>
      </c>
      <c r="M100" s="17">
        <f>data[[#This Row],[غير سعودى الإجمالي]]/data[[#This Row],[الإجمالي الكلي]]</f>
        <v>0.94805725971370147</v>
      </c>
      <c r="N100" s="19">
        <f>data[[#This Row],[ذكر - غير سعودي]]/data[[#This Row],[غير سعودى الإجمالي]]</f>
        <v>0.98511647972389993</v>
      </c>
    </row>
    <row r="101" spans="1:14" ht="22" customHeight="1">
      <c r="A101" s="18" t="s">
        <v>29</v>
      </c>
      <c r="B101" s="18" t="s">
        <v>10</v>
      </c>
      <c r="C101" s="16">
        <v>166</v>
      </c>
      <c r="D101" s="16">
        <v>345</v>
      </c>
      <c r="E101" s="16">
        <v>511</v>
      </c>
      <c r="F101" s="16">
        <v>2</v>
      </c>
      <c r="G101" s="16">
        <v>10</v>
      </c>
      <c r="H101" s="16">
        <v>12</v>
      </c>
      <c r="I101" s="16">
        <v>523</v>
      </c>
      <c r="J101" s="17">
        <f>data[[#This Row],[سعودى الإجمالي]]/data[[#This Row],[الإجمالي الكلي]]</f>
        <v>0.97705544933078392</v>
      </c>
      <c r="K101" s="17">
        <f>data[[#This Row],[أنثى - سعودي]]/data[[#This Row],[سعودى الإجمالي]]</f>
        <v>0.32485322896281799</v>
      </c>
      <c r="L101" s="19">
        <f>data[[#This Row],[ذكر - سعودي]]/data[[#This Row],[سعودى الإجمالي]]</f>
        <v>0.67514677103718201</v>
      </c>
      <c r="M101" s="17">
        <f>data[[#This Row],[غير سعودى الإجمالي]]/data[[#This Row],[الإجمالي الكلي]]</f>
        <v>2.2944550669216062E-2</v>
      </c>
      <c r="N101" s="19">
        <f>data[[#This Row],[ذكر - غير سعودي]]/data[[#This Row],[غير سعودى الإجمالي]]</f>
        <v>0.83333333333333337</v>
      </c>
    </row>
    <row r="102" spans="1:14" ht="22" customHeight="1">
      <c r="A102" s="18" t="s">
        <v>29</v>
      </c>
      <c r="B102" s="18" t="s">
        <v>11</v>
      </c>
      <c r="C102" s="16">
        <v>57</v>
      </c>
      <c r="D102" s="16">
        <v>59</v>
      </c>
      <c r="E102" s="16">
        <v>116</v>
      </c>
      <c r="F102" s="16">
        <v>97</v>
      </c>
      <c r="G102" s="16">
        <v>2779</v>
      </c>
      <c r="H102" s="16">
        <v>2876</v>
      </c>
      <c r="I102" s="16">
        <v>2992</v>
      </c>
      <c r="J102" s="17">
        <f>data[[#This Row],[سعودى الإجمالي]]/data[[#This Row],[الإجمالي الكلي]]</f>
        <v>3.8770053475935831E-2</v>
      </c>
      <c r="K102" s="17">
        <f>data[[#This Row],[أنثى - سعودي]]/data[[#This Row],[سعودى الإجمالي]]</f>
        <v>0.49137931034482757</v>
      </c>
      <c r="L102" s="19">
        <f>data[[#This Row],[ذكر - سعودي]]/data[[#This Row],[سعودى الإجمالي]]</f>
        <v>0.50862068965517238</v>
      </c>
      <c r="M102" s="17">
        <f>data[[#This Row],[غير سعودى الإجمالي]]/data[[#This Row],[الإجمالي الكلي]]</f>
        <v>0.96122994652406413</v>
      </c>
      <c r="N102" s="19">
        <f>data[[#This Row],[ذكر - غير سعودي]]/data[[#This Row],[غير سعودى الإجمالي]]</f>
        <v>0.9662726008344924</v>
      </c>
    </row>
    <row r="103" spans="1:14" ht="22" customHeight="1">
      <c r="A103" s="18" t="s">
        <v>29</v>
      </c>
      <c r="B103" s="18" t="s">
        <v>12</v>
      </c>
      <c r="C103" s="16">
        <v>1132</v>
      </c>
      <c r="D103" s="16">
        <v>2254</v>
      </c>
      <c r="E103" s="16">
        <v>3386</v>
      </c>
      <c r="F103" s="16">
        <v>330</v>
      </c>
      <c r="G103" s="16">
        <v>11723</v>
      </c>
      <c r="H103" s="16">
        <v>12053</v>
      </c>
      <c r="I103" s="16">
        <v>15439</v>
      </c>
      <c r="J103" s="17">
        <f>data[[#This Row],[سعودى الإجمالي]]/data[[#This Row],[الإجمالي الكلي]]</f>
        <v>0.21931472245611763</v>
      </c>
      <c r="K103" s="17">
        <f>data[[#This Row],[أنثى - سعودي]]/data[[#This Row],[سعودى الإجمالي]]</f>
        <v>0.33431777909037214</v>
      </c>
      <c r="L103" s="19">
        <f>data[[#This Row],[ذكر - سعودي]]/data[[#This Row],[سعودى الإجمالي]]</f>
        <v>0.66568222090962792</v>
      </c>
      <c r="M103" s="17">
        <f>data[[#This Row],[غير سعودى الإجمالي]]/data[[#This Row],[الإجمالي الكلي]]</f>
        <v>0.78068527754388239</v>
      </c>
      <c r="N103" s="19">
        <f>data[[#This Row],[ذكر - غير سعودي]]/data[[#This Row],[غير سعودى الإجمالي]]</f>
        <v>0.97262092425122371</v>
      </c>
    </row>
    <row r="104" spans="1:14" ht="22" customHeight="1">
      <c r="A104" s="18" t="s">
        <v>29</v>
      </c>
      <c r="B104" s="18" t="s">
        <v>13</v>
      </c>
      <c r="C104" s="16">
        <v>2498</v>
      </c>
      <c r="D104" s="16">
        <v>2529</v>
      </c>
      <c r="E104" s="16">
        <v>5027</v>
      </c>
      <c r="F104" s="16">
        <v>699</v>
      </c>
      <c r="G104" s="16">
        <v>26217</v>
      </c>
      <c r="H104" s="16">
        <v>26916</v>
      </c>
      <c r="I104" s="16">
        <v>31943</v>
      </c>
      <c r="J104" s="17">
        <f>data[[#This Row],[سعودى الإجمالي]]/data[[#This Row],[الإجمالي الكلي]]</f>
        <v>0.15737407256675953</v>
      </c>
      <c r="K104" s="17">
        <f>data[[#This Row],[أنثى - سعودي]]/data[[#This Row],[سعودى الإجمالي]]</f>
        <v>0.49691665008951663</v>
      </c>
      <c r="L104" s="19">
        <f>data[[#This Row],[ذكر - سعودي]]/data[[#This Row],[سعودى الإجمالي]]</f>
        <v>0.50308334991048342</v>
      </c>
      <c r="M104" s="17">
        <f>data[[#This Row],[غير سعودى الإجمالي]]/data[[#This Row],[الإجمالي الكلي]]</f>
        <v>0.8426259274332405</v>
      </c>
      <c r="N104" s="19">
        <f>data[[#This Row],[ذكر - غير سعودي]]/data[[#This Row],[غير سعودى الإجمالي]]</f>
        <v>0.97403031654034777</v>
      </c>
    </row>
    <row r="105" spans="1:14" ht="22" customHeight="1">
      <c r="A105" s="18" t="s">
        <v>29</v>
      </c>
      <c r="B105" s="18" t="s">
        <v>14</v>
      </c>
      <c r="C105" s="16">
        <v>1992</v>
      </c>
      <c r="D105" s="16">
        <v>1798</v>
      </c>
      <c r="E105" s="16">
        <v>3790</v>
      </c>
      <c r="F105" s="16">
        <v>724</v>
      </c>
      <c r="G105" s="16">
        <v>23656</v>
      </c>
      <c r="H105" s="16">
        <v>24380</v>
      </c>
      <c r="I105" s="16">
        <v>28170</v>
      </c>
      <c r="J105" s="17">
        <f>data[[#This Row],[سعودى الإجمالي]]/data[[#This Row],[الإجمالي الكلي]]</f>
        <v>0.13454029108981186</v>
      </c>
      <c r="K105" s="17">
        <f>data[[#This Row],[أنثى - سعودي]]/data[[#This Row],[سعودى الإجمالي]]</f>
        <v>0.52559366754617409</v>
      </c>
      <c r="L105" s="19">
        <f>data[[#This Row],[ذكر - سعودي]]/data[[#This Row],[سعودى الإجمالي]]</f>
        <v>0.47440633245382585</v>
      </c>
      <c r="M105" s="17">
        <f>data[[#This Row],[غير سعودى الإجمالي]]/data[[#This Row],[الإجمالي الكلي]]</f>
        <v>0.8654597089101882</v>
      </c>
      <c r="N105" s="19">
        <f>data[[#This Row],[ذكر - غير سعودي]]/data[[#This Row],[غير سعودى الإجمالي]]</f>
        <v>0.97030352748154225</v>
      </c>
    </row>
    <row r="106" spans="1:14" ht="22" customHeight="1">
      <c r="A106" s="18" t="s">
        <v>29</v>
      </c>
      <c r="B106" s="18" t="s">
        <v>15</v>
      </c>
      <c r="C106" s="16">
        <v>1199</v>
      </c>
      <c r="D106" s="16">
        <v>1035</v>
      </c>
      <c r="E106" s="16">
        <v>2234</v>
      </c>
      <c r="F106" s="16">
        <v>671</v>
      </c>
      <c r="G106" s="16">
        <v>25939</v>
      </c>
      <c r="H106" s="16">
        <v>26610</v>
      </c>
      <c r="I106" s="16">
        <v>28844</v>
      </c>
      <c r="J106" s="17">
        <f>data[[#This Row],[سعودى الإجمالي]]/data[[#This Row],[الإجمالي الكلي]]</f>
        <v>7.7451116350020804E-2</v>
      </c>
      <c r="K106" s="17">
        <f>data[[#This Row],[أنثى - سعودي]]/data[[#This Row],[سعودى الإجمالي]]</f>
        <v>0.53670546105640105</v>
      </c>
      <c r="L106" s="19">
        <f>data[[#This Row],[ذكر - سعودي]]/data[[#This Row],[سعودى الإجمالي]]</f>
        <v>0.4632945389435989</v>
      </c>
      <c r="M106" s="17">
        <f>data[[#This Row],[غير سعودى الإجمالي]]/data[[#This Row],[الإجمالي الكلي]]</f>
        <v>0.92254888364997922</v>
      </c>
      <c r="N106" s="19">
        <f>data[[#This Row],[ذكر - غير سعودي]]/data[[#This Row],[غير سعودى الإجمالي]]</f>
        <v>0.9747839158211199</v>
      </c>
    </row>
    <row r="107" spans="1:14" ht="22" customHeight="1">
      <c r="A107" s="18" t="s">
        <v>29</v>
      </c>
      <c r="B107" s="18" t="s">
        <v>16</v>
      </c>
      <c r="C107" s="16">
        <v>881</v>
      </c>
      <c r="D107" s="16">
        <v>646</v>
      </c>
      <c r="E107" s="16">
        <v>1527</v>
      </c>
      <c r="F107" s="16">
        <v>485</v>
      </c>
      <c r="G107" s="16">
        <v>22449</v>
      </c>
      <c r="H107" s="16">
        <v>22934</v>
      </c>
      <c r="I107" s="16">
        <v>24461</v>
      </c>
      <c r="J107" s="17">
        <f>data[[#This Row],[سعودى الإجمالي]]/data[[#This Row],[الإجمالي الكلي]]</f>
        <v>6.2425902456972326E-2</v>
      </c>
      <c r="K107" s="17">
        <f>data[[#This Row],[أنثى - سعودي]]/data[[#This Row],[سعودى الإجمالي]]</f>
        <v>0.5769482645710543</v>
      </c>
      <c r="L107" s="19">
        <f>data[[#This Row],[ذكر - سعودي]]/data[[#This Row],[سعودى الإجمالي]]</f>
        <v>0.42305173542894564</v>
      </c>
      <c r="M107" s="17">
        <f>data[[#This Row],[غير سعودى الإجمالي]]/data[[#This Row],[الإجمالي الكلي]]</f>
        <v>0.93757409754302767</v>
      </c>
      <c r="N107" s="19">
        <f>data[[#This Row],[ذكر - غير سعودي]]/data[[#This Row],[غير سعودى الإجمالي]]</f>
        <v>0.978852358943054</v>
      </c>
    </row>
    <row r="108" spans="1:14" ht="22" customHeight="1">
      <c r="A108" s="18" t="s">
        <v>29</v>
      </c>
      <c r="B108" s="18" t="s">
        <v>17</v>
      </c>
      <c r="C108" s="16">
        <v>482</v>
      </c>
      <c r="D108" s="16">
        <v>372</v>
      </c>
      <c r="E108" s="16">
        <v>854</v>
      </c>
      <c r="F108" s="16">
        <v>330</v>
      </c>
      <c r="G108" s="16">
        <v>15051</v>
      </c>
      <c r="H108" s="16">
        <v>15381</v>
      </c>
      <c r="I108" s="16">
        <v>16235</v>
      </c>
      <c r="J108" s="17">
        <f>data[[#This Row],[سعودى الإجمالي]]/data[[#This Row],[الإجمالي الكلي]]</f>
        <v>5.2602402217431475E-2</v>
      </c>
      <c r="K108" s="17">
        <f>data[[#This Row],[أنثى - سعودي]]/data[[#This Row],[سعودى الإجمالي]]</f>
        <v>0.56440281030444961</v>
      </c>
      <c r="L108" s="19">
        <f>data[[#This Row],[ذكر - سعودي]]/data[[#This Row],[سعودى الإجمالي]]</f>
        <v>0.43559718969555034</v>
      </c>
      <c r="M108" s="17">
        <f>data[[#This Row],[غير سعودى الإجمالي]]/data[[#This Row],[الإجمالي الكلي]]</f>
        <v>0.94739759778256849</v>
      </c>
      <c r="N108" s="19">
        <f>data[[#This Row],[ذكر - غير سعودي]]/data[[#This Row],[غير سعودى الإجمالي]]</f>
        <v>0.9785449580651453</v>
      </c>
    </row>
    <row r="109" spans="1:14" ht="22" customHeight="1">
      <c r="A109" s="18" t="s">
        <v>29</v>
      </c>
      <c r="B109" s="18" t="s">
        <v>18</v>
      </c>
      <c r="C109" s="16">
        <v>337</v>
      </c>
      <c r="D109" s="16">
        <v>239</v>
      </c>
      <c r="E109" s="16">
        <v>576</v>
      </c>
      <c r="F109" s="16">
        <v>177</v>
      </c>
      <c r="G109" s="16">
        <v>8792</v>
      </c>
      <c r="H109" s="16">
        <v>8969</v>
      </c>
      <c r="I109" s="16">
        <v>9545</v>
      </c>
      <c r="J109" s="17">
        <f>data[[#This Row],[سعودى الإجمالي]]/data[[#This Row],[الإجمالي الكلي]]</f>
        <v>6.0345730749083289E-2</v>
      </c>
      <c r="K109" s="17">
        <f>data[[#This Row],[أنثى - سعودي]]/data[[#This Row],[سعودى الإجمالي]]</f>
        <v>0.58506944444444442</v>
      </c>
      <c r="L109" s="19">
        <f>data[[#This Row],[ذكر - سعودي]]/data[[#This Row],[سعودى الإجمالي]]</f>
        <v>0.41493055555555558</v>
      </c>
      <c r="M109" s="17">
        <f>data[[#This Row],[غير سعودى الإجمالي]]/data[[#This Row],[الإجمالي الكلي]]</f>
        <v>0.93965426925091666</v>
      </c>
      <c r="N109" s="19">
        <f>data[[#This Row],[ذكر - غير سعودي]]/data[[#This Row],[غير سعودى الإجمالي]]</f>
        <v>0.9802653584569071</v>
      </c>
    </row>
    <row r="110" spans="1:14" ht="22" customHeight="1">
      <c r="A110" s="18" t="s">
        <v>29</v>
      </c>
      <c r="B110" s="18" t="s">
        <v>19</v>
      </c>
      <c r="C110" s="16">
        <v>259</v>
      </c>
      <c r="D110" s="16">
        <v>219</v>
      </c>
      <c r="E110" s="16">
        <v>478</v>
      </c>
      <c r="F110" s="16">
        <v>131</v>
      </c>
      <c r="G110" s="16">
        <v>6531</v>
      </c>
      <c r="H110" s="16">
        <v>6662</v>
      </c>
      <c r="I110" s="16">
        <v>7140</v>
      </c>
      <c r="J110" s="17">
        <f>data[[#This Row],[سعودى الإجمالي]]/data[[#This Row],[الإجمالي الكلي]]</f>
        <v>6.6946778711484592E-2</v>
      </c>
      <c r="K110" s="17">
        <f>data[[#This Row],[أنثى - سعودي]]/data[[#This Row],[سعودى الإجمالي]]</f>
        <v>0.54184100418410042</v>
      </c>
      <c r="L110" s="19">
        <f>data[[#This Row],[ذكر - سعودي]]/data[[#This Row],[سعودى الإجمالي]]</f>
        <v>0.45815899581589958</v>
      </c>
      <c r="M110" s="17">
        <f>data[[#This Row],[غير سعودى الإجمالي]]/data[[#This Row],[الإجمالي الكلي]]</f>
        <v>0.93305322128851542</v>
      </c>
      <c r="N110" s="19">
        <f>data[[#This Row],[ذكر - غير سعودي]]/data[[#This Row],[غير سعودى الإجمالي]]</f>
        <v>0.98033623536475534</v>
      </c>
    </row>
    <row r="111" spans="1:14" ht="22" customHeight="1">
      <c r="A111" s="18" t="s">
        <v>29</v>
      </c>
      <c r="B111" s="18" t="s">
        <v>20</v>
      </c>
      <c r="C111" s="16">
        <v>131</v>
      </c>
      <c r="D111" s="16">
        <v>136</v>
      </c>
      <c r="E111" s="16">
        <v>267</v>
      </c>
      <c r="F111" s="16">
        <v>80</v>
      </c>
      <c r="G111" s="16">
        <v>3693</v>
      </c>
      <c r="H111" s="16">
        <v>3773</v>
      </c>
      <c r="I111" s="16">
        <v>4040</v>
      </c>
      <c r="J111" s="17">
        <f>data[[#This Row],[سعودى الإجمالي]]/data[[#This Row],[الإجمالي الكلي]]</f>
        <v>6.6089108910891092E-2</v>
      </c>
      <c r="K111" s="17">
        <f>data[[#This Row],[أنثى - سعودي]]/data[[#This Row],[سعودى الإجمالي]]</f>
        <v>0.49063670411985016</v>
      </c>
      <c r="L111" s="19">
        <f>data[[#This Row],[ذكر - سعودي]]/data[[#This Row],[سعودى الإجمالي]]</f>
        <v>0.50936329588014984</v>
      </c>
      <c r="M111" s="17">
        <f>data[[#This Row],[غير سعودى الإجمالي]]/data[[#This Row],[الإجمالي الكلي]]</f>
        <v>0.93391089108910896</v>
      </c>
      <c r="N111" s="19">
        <f>data[[#This Row],[ذكر - غير سعودي]]/data[[#This Row],[غير سعودى الإجمالي]]</f>
        <v>0.97879671349059105</v>
      </c>
    </row>
    <row r="112" spans="1:14" ht="22" customHeight="1">
      <c r="A112" s="18" t="s">
        <v>30</v>
      </c>
      <c r="B112" s="18" t="s">
        <v>10</v>
      </c>
      <c r="C112" s="16">
        <v>476</v>
      </c>
      <c r="D112" s="16">
        <v>935</v>
      </c>
      <c r="E112" s="16">
        <v>1411</v>
      </c>
      <c r="F112" s="16">
        <v>2</v>
      </c>
      <c r="G112" s="16">
        <v>51</v>
      </c>
      <c r="H112" s="16">
        <v>53</v>
      </c>
      <c r="I112" s="16">
        <v>1464</v>
      </c>
      <c r="J112" s="17">
        <f>data[[#This Row],[سعودى الإجمالي]]/data[[#This Row],[الإجمالي الكلي]]</f>
        <v>0.96379781420765032</v>
      </c>
      <c r="K112" s="17">
        <f>data[[#This Row],[أنثى - سعودي]]/data[[#This Row],[سعودى الإجمالي]]</f>
        <v>0.33734939759036142</v>
      </c>
      <c r="L112" s="19">
        <f>data[[#This Row],[ذكر - سعودي]]/data[[#This Row],[سعودى الإجمالي]]</f>
        <v>0.66265060240963858</v>
      </c>
      <c r="M112" s="17">
        <f>data[[#This Row],[غير سعودى الإجمالي]]/data[[#This Row],[الإجمالي الكلي]]</f>
        <v>3.6202185792349725E-2</v>
      </c>
      <c r="N112" s="19">
        <f>data[[#This Row],[ذكر - غير سعودي]]/data[[#This Row],[غير سعودى الإجمالي]]</f>
        <v>0.96226415094339623</v>
      </c>
    </row>
    <row r="113" spans="1:14" ht="22" customHeight="1">
      <c r="A113" s="18" t="s">
        <v>30</v>
      </c>
      <c r="B113" s="18" t="s">
        <v>11</v>
      </c>
      <c r="C113" s="16">
        <v>91</v>
      </c>
      <c r="D113" s="16">
        <v>180</v>
      </c>
      <c r="E113" s="16">
        <v>271</v>
      </c>
      <c r="F113" s="16">
        <v>122</v>
      </c>
      <c r="G113" s="16">
        <v>6091</v>
      </c>
      <c r="H113" s="16">
        <v>6213</v>
      </c>
      <c r="I113" s="16">
        <v>6484</v>
      </c>
      <c r="J113" s="17">
        <f>data[[#This Row],[سعودى الإجمالي]]/data[[#This Row],[الإجمالي الكلي]]</f>
        <v>4.1795188155459594E-2</v>
      </c>
      <c r="K113" s="17">
        <f>data[[#This Row],[أنثى - سعودي]]/data[[#This Row],[سعودى الإجمالي]]</f>
        <v>0.33579335793357934</v>
      </c>
      <c r="L113" s="19">
        <f>data[[#This Row],[ذكر - سعودي]]/data[[#This Row],[سعودى الإجمالي]]</f>
        <v>0.66420664206642066</v>
      </c>
      <c r="M113" s="17">
        <f>data[[#This Row],[غير سعودى الإجمالي]]/data[[#This Row],[الإجمالي الكلي]]</f>
        <v>0.95820481184454043</v>
      </c>
      <c r="N113" s="19">
        <f>data[[#This Row],[ذكر - غير سعودي]]/data[[#This Row],[غير سعودى الإجمالي]]</f>
        <v>0.98036375342024784</v>
      </c>
    </row>
    <row r="114" spans="1:14" ht="22" customHeight="1">
      <c r="A114" s="18" t="s">
        <v>30</v>
      </c>
      <c r="B114" s="18" t="s">
        <v>12</v>
      </c>
      <c r="C114" s="16">
        <v>3557</v>
      </c>
      <c r="D114" s="16">
        <v>6608</v>
      </c>
      <c r="E114" s="16">
        <v>10165</v>
      </c>
      <c r="F114" s="16">
        <v>1190</v>
      </c>
      <c r="G114" s="16">
        <v>15605</v>
      </c>
      <c r="H114" s="16">
        <v>16795</v>
      </c>
      <c r="I114" s="16">
        <v>26960</v>
      </c>
      <c r="J114" s="17">
        <f>data[[#This Row],[سعودى الإجمالي]]/data[[#This Row],[الإجمالي الكلي]]</f>
        <v>0.37704005934718099</v>
      </c>
      <c r="K114" s="17">
        <f>data[[#This Row],[أنثى - سعودي]]/data[[#This Row],[سعودى الإجمالي]]</f>
        <v>0.34992621741269059</v>
      </c>
      <c r="L114" s="19">
        <f>data[[#This Row],[ذكر - سعودي]]/data[[#This Row],[سعودى الإجمالي]]</f>
        <v>0.65007378258730941</v>
      </c>
      <c r="M114" s="17">
        <f>data[[#This Row],[غير سعودى الإجمالي]]/data[[#This Row],[الإجمالي الكلي]]</f>
        <v>0.62295994065281901</v>
      </c>
      <c r="N114" s="19">
        <f>data[[#This Row],[ذكر - غير سعودي]]/data[[#This Row],[غير سعودى الإجمالي]]</f>
        <v>0.9291455790413814</v>
      </c>
    </row>
    <row r="115" spans="1:14" ht="22" customHeight="1">
      <c r="A115" s="18" t="s">
        <v>30</v>
      </c>
      <c r="B115" s="18" t="s">
        <v>13</v>
      </c>
      <c r="C115" s="16">
        <v>6167</v>
      </c>
      <c r="D115" s="16">
        <v>6779</v>
      </c>
      <c r="E115" s="16">
        <v>12946</v>
      </c>
      <c r="F115" s="16">
        <v>3822</v>
      </c>
      <c r="G115" s="16">
        <v>48111</v>
      </c>
      <c r="H115" s="16">
        <v>51933</v>
      </c>
      <c r="I115" s="16">
        <v>64879</v>
      </c>
      <c r="J115" s="17">
        <f>data[[#This Row],[سعودى الإجمالي]]/data[[#This Row],[الإجمالي الكلي]]</f>
        <v>0.19954068342607006</v>
      </c>
      <c r="K115" s="17">
        <f>data[[#This Row],[أنثى - سعودي]]/data[[#This Row],[سعودى الإجمالي]]</f>
        <v>0.47636335547659509</v>
      </c>
      <c r="L115" s="19">
        <f>data[[#This Row],[ذكر - سعودي]]/data[[#This Row],[سعودى الإجمالي]]</f>
        <v>0.52363664452340486</v>
      </c>
      <c r="M115" s="17">
        <f>data[[#This Row],[غير سعودى الإجمالي]]/data[[#This Row],[الإجمالي الكلي]]</f>
        <v>0.80045931657392988</v>
      </c>
      <c r="N115" s="19">
        <f>data[[#This Row],[ذكر - غير سعودي]]/data[[#This Row],[غير سعودى الإجمالي]]</f>
        <v>0.92640517589971694</v>
      </c>
    </row>
    <row r="116" spans="1:14" ht="22" customHeight="1">
      <c r="A116" s="18" t="s">
        <v>30</v>
      </c>
      <c r="B116" s="18" t="s">
        <v>14</v>
      </c>
      <c r="C116" s="16">
        <v>4763</v>
      </c>
      <c r="D116" s="16">
        <v>5973</v>
      </c>
      <c r="E116" s="16">
        <v>10736</v>
      </c>
      <c r="F116" s="16">
        <v>3692</v>
      </c>
      <c r="G116" s="16">
        <v>50872</v>
      </c>
      <c r="H116" s="16">
        <v>54564</v>
      </c>
      <c r="I116" s="16">
        <v>65300</v>
      </c>
      <c r="J116" s="17">
        <f>data[[#This Row],[سعودى الإجمالي]]/data[[#This Row],[الإجمالي الكلي]]</f>
        <v>0.1644104134762634</v>
      </c>
      <c r="K116" s="17">
        <f>data[[#This Row],[أنثى - سعودي]]/data[[#This Row],[سعودى الإجمالي]]</f>
        <v>0.44364754098360654</v>
      </c>
      <c r="L116" s="19">
        <f>data[[#This Row],[ذكر - سعودي]]/data[[#This Row],[سعودى الإجمالي]]</f>
        <v>0.55635245901639341</v>
      </c>
      <c r="M116" s="17">
        <f>data[[#This Row],[غير سعودى الإجمالي]]/data[[#This Row],[الإجمالي الكلي]]</f>
        <v>0.8355895865237366</v>
      </c>
      <c r="N116" s="19">
        <f>data[[#This Row],[ذكر - غير سعودي]]/data[[#This Row],[غير سعودى الإجمالي]]</f>
        <v>0.93233633897808077</v>
      </c>
    </row>
    <row r="117" spans="1:14" ht="22" customHeight="1">
      <c r="A117" s="18" t="s">
        <v>30</v>
      </c>
      <c r="B117" s="18" t="s">
        <v>15</v>
      </c>
      <c r="C117" s="16">
        <v>3552</v>
      </c>
      <c r="D117" s="16">
        <v>4146</v>
      </c>
      <c r="E117" s="16">
        <v>7698</v>
      </c>
      <c r="F117" s="16">
        <v>3035</v>
      </c>
      <c r="G117" s="16">
        <v>53833</v>
      </c>
      <c r="H117" s="16">
        <v>56868</v>
      </c>
      <c r="I117" s="16">
        <v>64566</v>
      </c>
      <c r="J117" s="17">
        <f>data[[#This Row],[سعودى الإجمالي]]/data[[#This Row],[الإجمالي الكلي]]</f>
        <v>0.11922683765449307</v>
      </c>
      <c r="K117" s="17">
        <f>data[[#This Row],[أنثى - سعودي]]/data[[#This Row],[سعودى الإجمالي]]</f>
        <v>0.46141855027279816</v>
      </c>
      <c r="L117" s="19">
        <f>data[[#This Row],[ذكر - سعودي]]/data[[#This Row],[سعودى الإجمالي]]</f>
        <v>0.5385814497272019</v>
      </c>
      <c r="M117" s="17">
        <f>data[[#This Row],[غير سعودى الإجمالي]]/data[[#This Row],[الإجمالي الكلي]]</f>
        <v>0.88077316234550695</v>
      </c>
      <c r="N117" s="19">
        <f>data[[#This Row],[ذكر - غير سعودي]]/data[[#This Row],[غير سعودى الإجمالي]]</f>
        <v>0.94663079411971585</v>
      </c>
    </row>
    <row r="118" spans="1:14" ht="22" customHeight="1">
      <c r="A118" s="18" t="s">
        <v>30</v>
      </c>
      <c r="B118" s="18" t="s">
        <v>16</v>
      </c>
      <c r="C118" s="16">
        <v>2522</v>
      </c>
      <c r="D118" s="16">
        <v>2777</v>
      </c>
      <c r="E118" s="16">
        <v>5299</v>
      </c>
      <c r="F118" s="16">
        <v>2020</v>
      </c>
      <c r="G118" s="16">
        <v>44693</v>
      </c>
      <c r="H118" s="16">
        <v>46713</v>
      </c>
      <c r="I118" s="16">
        <v>52012</v>
      </c>
      <c r="J118" s="17">
        <f>data[[#This Row],[سعودى الإجمالي]]/data[[#This Row],[الإجمالي الكلي]]</f>
        <v>0.10188033530723679</v>
      </c>
      <c r="K118" s="17">
        <f>data[[#This Row],[أنثى - سعودي]]/data[[#This Row],[سعودى الإجمالي]]</f>
        <v>0.47593885638799771</v>
      </c>
      <c r="L118" s="19">
        <f>data[[#This Row],[ذكر - سعودي]]/data[[#This Row],[سعودى الإجمالي]]</f>
        <v>0.52406114361200229</v>
      </c>
      <c r="M118" s="17">
        <f>data[[#This Row],[غير سعودى الإجمالي]]/data[[#This Row],[الإجمالي الكلي]]</f>
        <v>0.89811966469276316</v>
      </c>
      <c r="N118" s="19">
        <f>data[[#This Row],[ذكر - غير سعودي]]/data[[#This Row],[غير سعودى الإجمالي]]</f>
        <v>0.95675721961766536</v>
      </c>
    </row>
    <row r="119" spans="1:14" ht="22" customHeight="1">
      <c r="A119" s="18" t="s">
        <v>30</v>
      </c>
      <c r="B119" s="18" t="s">
        <v>17</v>
      </c>
      <c r="C119" s="16">
        <v>1489</v>
      </c>
      <c r="D119" s="16">
        <v>1624</v>
      </c>
      <c r="E119" s="16">
        <v>3113</v>
      </c>
      <c r="F119" s="16">
        <v>1056</v>
      </c>
      <c r="G119" s="16">
        <v>32743</v>
      </c>
      <c r="H119" s="16">
        <v>33799</v>
      </c>
      <c r="I119" s="16">
        <v>36912</v>
      </c>
      <c r="J119" s="17">
        <f>data[[#This Row],[سعودى الإجمالي]]/data[[#This Row],[الإجمالي الكلي]]</f>
        <v>8.4335717381881226E-2</v>
      </c>
      <c r="K119" s="17">
        <f>data[[#This Row],[أنثى - سعودي]]/data[[#This Row],[سعودى الإجمالي]]</f>
        <v>0.47831673626726628</v>
      </c>
      <c r="L119" s="19">
        <f>data[[#This Row],[ذكر - سعودي]]/data[[#This Row],[سعودى الإجمالي]]</f>
        <v>0.52168326373273366</v>
      </c>
      <c r="M119" s="17">
        <f>data[[#This Row],[غير سعودى الإجمالي]]/data[[#This Row],[الإجمالي الكلي]]</f>
        <v>0.91566428261811872</v>
      </c>
      <c r="N119" s="19">
        <f>data[[#This Row],[ذكر - غير سعودي]]/data[[#This Row],[غير سعودى الإجمالي]]</f>
        <v>0.96875647208497295</v>
      </c>
    </row>
    <row r="120" spans="1:14" ht="22" customHeight="1">
      <c r="A120" s="18" t="s">
        <v>30</v>
      </c>
      <c r="B120" s="18" t="s">
        <v>18</v>
      </c>
      <c r="C120" s="16">
        <v>922</v>
      </c>
      <c r="D120" s="16">
        <v>1175</v>
      </c>
      <c r="E120" s="16">
        <v>2097</v>
      </c>
      <c r="F120" s="16">
        <v>580</v>
      </c>
      <c r="G120" s="16">
        <v>20519</v>
      </c>
      <c r="H120" s="16">
        <v>21099</v>
      </c>
      <c r="I120" s="16">
        <v>23196</v>
      </c>
      <c r="J120" s="17">
        <f>data[[#This Row],[سعودى الإجمالي]]/data[[#This Row],[الإجمالي الكلي]]</f>
        <v>9.0403517847904805E-2</v>
      </c>
      <c r="K120" s="17">
        <f>data[[#This Row],[أنثى - سعودي]]/data[[#This Row],[سعودى الإجمالي]]</f>
        <v>0.43967572722937531</v>
      </c>
      <c r="L120" s="19">
        <f>data[[#This Row],[ذكر - سعودي]]/data[[#This Row],[سعودى الإجمالي]]</f>
        <v>0.56032427277062469</v>
      </c>
      <c r="M120" s="17">
        <f>data[[#This Row],[غير سعودى الإجمالي]]/data[[#This Row],[الإجمالي الكلي]]</f>
        <v>0.90959648215209521</v>
      </c>
      <c r="N120" s="19">
        <f>data[[#This Row],[ذكر - غير سعودي]]/data[[#This Row],[غير سعودى الإجمالي]]</f>
        <v>0.97251054552348448</v>
      </c>
    </row>
    <row r="121" spans="1:14" ht="22" customHeight="1">
      <c r="A121" s="18" t="s">
        <v>30</v>
      </c>
      <c r="B121" s="18" t="s">
        <v>19</v>
      </c>
      <c r="C121" s="16">
        <v>721</v>
      </c>
      <c r="D121" s="16">
        <v>1245</v>
      </c>
      <c r="E121" s="16">
        <v>1966</v>
      </c>
      <c r="F121" s="16">
        <v>333</v>
      </c>
      <c r="G121" s="16">
        <v>15186</v>
      </c>
      <c r="H121" s="16">
        <v>15519</v>
      </c>
      <c r="I121" s="16">
        <v>17485</v>
      </c>
      <c r="J121" s="17">
        <f>data[[#This Row],[سعودى الإجمالي]]/data[[#This Row],[الإجمالي الكلي]]</f>
        <v>0.1124392336288247</v>
      </c>
      <c r="K121" s="17">
        <f>data[[#This Row],[أنثى - سعودي]]/data[[#This Row],[سعودى الإجمالي]]</f>
        <v>0.36673448626653105</v>
      </c>
      <c r="L121" s="19">
        <f>data[[#This Row],[ذكر - سعودي]]/data[[#This Row],[سعودى الإجمالي]]</f>
        <v>0.63326551373346895</v>
      </c>
      <c r="M121" s="17">
        <f>data[[#This Row],[غير سعودى الإجمالي]]/data[[#This Row],[الإجمالي الكلي]]</f>
        <v>0.88756076637117531</v>
      </c>
      <c r="N121" s="19">
        <f>data[[#This Row],[ذكر - غير سعودي]]/data[[#This Row],[غير سعودى الإجمالي]]</f>
        <v>0.97854243185772283</v>
      </c>
    </row>
    <row r="122" spans="1:14" ht="22" customHeight="1">
      <c r="A122" s="18" t="s">
        <v>30</v>
      </c>
      <c r="B122" s="18" t="s">
        <v>20</v>
      </c>
      <c r="C122" s="16">
        <v>301</v>
      </c>
      <c r="D122" s="16">
        <v>547</v>
      </c>
      <c r="E122" s="16">
        <v>848</v>
      </c>
      <c r="F122" s="16">
        <v>165</v>
      </c>
      <c r="G122" s="16">
        <v>8543</v>
      </c>
      <c r="H122" s="16">
        <v>8708</v>
      </c>
      <c r="I122" s="16">
        <v>9556</v>
      </c>
      <c r="J122" s="17">
        <f>data[[#This Row],[سعودى الإجمالي]]/data[[#This Row],[الإجمالي الكلي]]</f>
        <v>8.8740058601925492E-2</v>
      </c>
      <c r="K122" s="17">
        <f>data[[#This Row],[أنثى - سعودي]]/data[[#This Row],[سعودى الإجمالي]]</f>
        <v>0.35495283018867924</v>
      </c>
      <c r="L122" s="19">
        <f>data[[#This Row],[ذكر - سعودي]]/data[[#This Row],[سعودى الإجمالي]]</f>
        <v>0.64504716981132071</v>
      </c>
      <c r="M122" s="17">
        <f>data[[#This Row],[غير سعودى الإجمالي]]/data[[#This Row],[الإجمالي الكلي]]</f>
        <v>0.91125994139807454</v>
      </c>
      <c r="N122" s="19">
        <f>data[[#This Row],[ذكر - غير سعودي]]/data[[#This Row],[غير سعودى الإجمالي]]</f>
        <v>0.98105190629306382</v>
      </c>
    </row>
    <row r="123" spans="1:14" ht="22" customHeight="1">
      <c r="A123" s="18" t="s">
        <v>31</v>
      </c>
      <c r="B123" s="18" t="s">
        <v>10</v>
      </c>
      <c r="C123" s="16">
        <v>2531</v>
      </c>
      <c r="D123" s="16">
        <v>4654</v>
      </c>
      <c r="E123" s="16">
        <v>7185</v>
      </c>
      <c r="F123" s="16">
        <v>43</v>
      </c>
      <c r="G123" s="16">
        <v>322</v>
      </c>
      <c r="H123" s="16">
        <v>365</v>
      </c>
      <c r="I123" s="16">
        <v>7550</v>
      </c>
      <c r="J123" s="17">
        <f>data[[#This Row],[سعودى الإجمالي]]/data[[#This Row],[الإجمالي الكلي]]</f>
        <v>0.95165562913907287</v>
      </c>
      <c r="K123" s="17">
        <f>data[[#This Row],[أنثى - سعودي]]/data[[#This Row],[سعودى الإجمالي]]</f>
        <v>0.35226165622825328</v>
      </c>
      <c r="L123" s="19">
        <f>data[[#This Row],[ذكر - سعودي]]/data[[#This Row],[سعودى الإجمالي]]</f>
        <v>0.64773834377174666</v>
      </c>
      <c r="M123" s="17">
        <f>data[[#This Row],[غير سعودى الإجمالي]]/data[[#This Row],[الإجمالي الكلي]]</f>
        <v>4.8344370860927154E-2</v>
      </c>
      <c r="N123" s="19">
        <f>data[[#This Row],[ذكر - غير سعودي]]/data[[#This Row],[غير سعودى الإجمالي]]</f>
        <v>0.88219178082191785</v>
      </c>
    </row>
    <row r="124" spans="1:14" ht="22" customHeight="1">
      <c r="A124" s="18" t="s">
        <v>31</v>
      </c>
      <c r="B124" s="18" t="s">
        <v>11</v>
      </c>
      <c r="C124" s="16">
        <v>1563</v>
      </c>
      <c r="D124" s="16">
        <v>2451</v>
      </c>
      <c r="E124" s="16">
        <v>4014</v>
      </c>
      <c r="F124" s="16">
        <v>1662</v>
      </c>
      <c r="G124" s="16">
        <v>50213</v>
      </c>
      <c r="H124" s="16">
        <v>51875</v>
      </c>
      <c r="I124" s="16">
        <v>55889</v>
      </c>
      <c r="J124" s="17">
        <f>data[[#This Row],[سعودى الإجمالي]]/data[[#This Row],[الإجمالي الكلي]]</f>
        <v>7.1820930773497466E-2</v>
      </c>
      <c r="K124" s="17">
        <f>data[[#This Row],[أنثى - سعودي]]/data[[#This Row],[سعودى الإجمالي]]</f>
        <v>0.38938714499252614</v>
      </c>
      <c r="L124" s="19">
        <f>data[[#This Row],[ذكر - سعودي]]/data[[#This Row],[سعودى الإجمالي]]</f>
        <v>0.61061285500747386</v>
      </c>
      <c r="M124" s="17">
        <f>data[[#This Row],[غير سعودى الإجمالي]]/data[[#This Row],[الإجمالي الكلي]]</f>
        <v>0.92817906922650251</v>
      </c>
      <c r="N124" s="19">
        <f>data[[#This Row],[ذكر - غير سعودي]]/data[[#This Row],[غير سعودى الإجمالي]]</f>
        <v>0.96796144578313248</v>
      </c>
    </row>
    <row r="125" spans="1:14" ht="22" customHeight="1">
      <c r="A125" s="18" t="s">
        <v>31</v>
      </c>
      <c r="B125" s="18" t="s">
        <v>12</v>
      </c>
      <c r="C125" s="16">
        <v>24297</v>
      </c>
      <c r="D125" s="16">
        <v>41304</v>
      </c>
      <c r="E125" s="16">
        <v>65601</v>
      </c>
      <c r="F125" s="16">
        <v>3103</v>
      </c>
      <c r="G125" s="16">
        <v>66512</v>
      </c>
      <c r="H125" s="16">
        <v>69615</v>
      </c>
      <c r="I125" s="16">
        <v>135216</v>
      </c>
      <c r="J125" s="17">
        <f>data[[#This Row],[سعودى الإجمالي]]/data[[#This Row],[الإجمالي الكلي]]</f>
        <v>0.48515708200212992</v>
      </c>
      <c r="K125" s="17">
        <f>data[[#This Row],[أنثى - سعودي]]/data[[#This Row],[سعودى الإجمالي]]</f>
        <v>0.3703754515937257</v>
      </c>
      <c r="L125" s="19">
        <f>data[[#This Row],[ذكر - سعودي]]/data[[#This Row],[سعودى الإجمالي]]</f>
        <v>0.62962454840627424</v>
      </c>
      <c r="M125" s="17">
        <f>data[[#This Row],[غير سعودى الإجمالي]]/data[[#This Row],[الإجمالي الكلي]]</f>
        <v>0.51484291799787008</v>
      </c>
      <c r="N125" s="19">
        <f>data[[#This Row],[ذكر - غير سعودي]]/data[[#This Row],[غير سعودى الإجمالي]]</f>
        <v>0.95542627307333194</v>
      </c>
    </row>
    <row r="126" spans="1:14" ht="22" customHeight="1">
      <c r="A126" s="18" t="s">
        <v>31</v>
      </c>
      <c r="B126" s="18" t="s">
        <v>13</v>
      </c>
      <c r="C126" s="16">
        <v>47407</v>
      </c>
      <c r="D126" s="16">
        <v>59092</v>
      </c>
      <c r="E126" s="16">
        <v>106499</v>
      </c>
      <c r="F126" s="16">
        <v>10569</v>
      </c>
      <c r="G126" s="16">
        <v>222993</v>
      </c>
      <c r="H126" s="16">
        <v>233562</v>
      </c>
      <c r="I126" s="16">
        <v>340061</v>
      </c>
      <c r="J126" s="17">
        <f>data[[#This Row],[سعودى الإجمالي]]/data[[#This Row],[الإجمالي الكلي]]</f>
        <v>0.3131761654526688</v>
      </c>
      <c r="K126" s="17">
        <f>data[[#This Row],[أنثى - سعودي]]/data[[#This Row],[سعودى الإجمالي]]</f>
        <v>0.44514032995614983</v>
      </c>
      <c r="L126" s="19">
        <f>data[[#This Row],[ذكر - سعودي]]/data[[#This Row],[سعودى الإجمالي]]</f>
        <v>0.55485967004385017</v>
      </c>
      <c r="M126" s="17">
        <f>data[[#This Row],[غير سعودى الإجمالي]]/data[[#This Row],[الإجمالي الكلي]]</f>
        <v>0.6868238345473312</v>
      </c>
      <c r="N126" s="19">
        <f>data[[#This Row],[ذكر - غير سعودي]]/data[[#This Row],[غير سعودى الإجمالي]]</f>
        <v>0.95474863205487193</v>
      </c>
    </row>
    <row r="127" spans="1:14" ht="22" customHeight="1">
      <c r="A127" s="18" t="s">
        <v>31</v>
      </c>
      <c r="B127" s="18" t="s">
        <v>14</v>
      </c>
      <c r="C127" s="16">
        <v>43748</v>
      </c>
      <c r="D127" s="16">
        <v>52584</v>
      </c>
      <c r="E127" s="16">
        <v>96332</v>
      </c>
      <c r="F127" s="16">
        <v>12169</v>
      </c>
      <c r="G127" s="16">
        <v>246066</v>
      </c>
      <c r="H127" s="16">
        <v>258235</v>
      </c>
      <c r="I127" s="16">
        <v>354567</v>
      </c>
      <c r="J127" s="17">
        <f>data[[#This Row],[سعودى الإجمالي]]/data[[#This Row],[الإجمالي الكلي]]</f>
        <v>0.27168913068616085</v>
      </c>
      <c r="K127" s="17">
        <f>data[[#This Row],[أنثى - سعودي]]/data[[#This Row],[سعودى الإجمالي]]</f>
        <v>0.45413777353319768</v>
      </c>
      <c r="L127" s="19">
        <f>data[[#This Row],[ذكر - سعودي]]/data[[#This Row],[سعودى الإجمالي]]</f>
        <v>0.54586222646680227</v>
      </c>
      <c r="M127" s="17">
        <f>data[[#This Row],[غير سعودى الإجمالي]]/data[[#This Row],[الإجمالي الكلي]]</f>
        <v>0.72831086931383915</v>
      </c>
      <c r="N127" s="19">
        <f>data[[#This Row],[ذكر - غير سعودي]]/data[[#This Row],[غير سعودى الإجمالي]]</f>
        <v>0.95287625612329852</v>
      </c>
    </row>
    <row r="128" spans="1:14" ht="22" customHeight="1">
      <c r="A128" s="18" t="s">
        <v>31</v>
      </c>
      <c r="B128" s="18" t="s">
        <v>15</v>
      </c>
      <c r="C128" s="16">
        <v>33571</v>
      </c>
      <c r="D128" s="16">
        <v>38507</v>
      </c>
      <c r="E128" s="16">
        <v>72078</v>
      </c>
      <c r="F128" s="16">
        <v>11435</v>
      </c>
      <c r="G128" s="16">
        <v>282844</v>
      </c>
      <c r="H128" s="16">
        <v>294279</v>
      </c>
      <c r="I128" s="16">
        <v>366357</v>
      </c>
      <c r="J128" s="17">
        <f>data[[#This Row],[سعودى الإجمالي]]/data[[#This Row],[الإجمالي الكلي]]</f>
        <v>0.19674252163872943</v>
      </c>
      <c r="K128" s="17">
        <f>data[[#This Row],[أنثى - سعودي]]/data[[#This Row],[سعودى الإجمالي]]</f>
        <v>0.46575931629623463</v>
      </c>
      <c r="L128" s="19">
        <f>data[[#This Row],[ذكر - سعودي]]/data[[#This Row],[سعودى الإجمالي]]</f>
        <v>0.53424068370376532</v>
      </c>
      <c r="M128" s="17">
        <f>data[[#This Row],[غير سعودى الإجمالي]]/data[[#This Row],[الإجمالي الكلي]]</f>
        <v>0.80325747836127059</v>
      </c>
      <c r="N128" s="19">
        <f>data[[#This Row],[ذكر - غير سعودي]]/data[[#This Row],[غير سعودى الإجمالي]]</f>
        <v>0.96114231732471567</v>
      </c>
    </row>
    <row r="129" spans="1:14" ht="22" customHeight="1">
      <c r="A129" s="18" t="s">
        <v>31</v>
      </c>
      <c r="B129" s="18" t="s">
        <v>16</v>
      </c>
      <c r="C129" s="16">
        <v>24738</v>
      </c>
      <c r="D129" s="16">
        <v>28386</v>
      </c>
      <c r="E129" s="16">
        <v>53124</v>
      </c>
      <c r="F129" s="16">
        <v>8655</v>
      </c>
      <c r="G129" s="16">
        <v>246539</v>
      </c>
      <c r="H129" s="16">
        <v>255194</v>
      </c>
      <c r="I129" s="16">
        <v>308318</v>
      </c>
      <c r="J129" s="17">
        <f>data[[#This Row],[سعودى الإجمالي]]/data[[#This Row],[الإجمالي الكلي]]</f>
        <v>0.17230262261690851</v>
      </c>
      <c r="K129" s="17">
        <f>data[[#This Row],[أنثى - سعودي]]/data[[#This Row],[سعودى الإجمالي]]</f>
        <v>0.46566523605150212</v>
      </c>
      <c r="L129" s="19">
        <f>data[[#This Row],[ذكر - سعودي]]/data[[#This Row],[سعودى الإجمالي]]</f>
        <v>0.53433476394849788</v>
      </c>
      <c r="M129" s="17">
        <f>data[[#This Row],[غير سعودى الإجمالي]]/data[[#This Row],[الإجمالي الكلي]]</f>
        <v>0.82769737738309146</v>
      </c>
      <c r="N129" s="19">
        <f>data[[#This Row],[ذكر - غير سعودي]]/data[[#This Row],[غير سعودى الإجمالي]]</f>
        <v>0.9660846258140865</v>
      </c>
    </row>
    <row r="130" spans="1:14" ht="22" customHeight="1">
      <c r="A130" s="18" t="s">
        <v>31</v>
      </c>
      <c r="B130" s="18" t="s">
        <v>17</v>
      </c>
      <c r="C130" s="16">
        <v>15325</v>
      </c>
      <c r="D130" s="16">
        <v>18280</v>
      </c>
      <c r="E130" s="16">
        <v>33605</v>
      </c>
      <c r="F130" s="16">
        <v>5738</v>
      </c>
      <c r="G130" s="16">
        <v>183348</v>
      </c>
      <c r="H130" s="16">
        <v>189086</v>
      </c>
      <c r="I130" s="16">
        <v>222691</v>
      </c>
      <c r="J130" s="17">
        <f>data[[#This Row],[سعودى الإجمالي]]/data[[#This Row],[الإجمالي الكلي]]</f>
        <v>0.15090416765832476</v>
      </c>
      <c r="K130" s="17">
        <f>data[[#This Row],[أنثى - سعودي]]/data[[#This Row],[سعودى الإجمالي]]</f>
        <v>0.45603332837375393</v>
      </c>
      <c r="L130" s="19">
        <f>data[[#This Row],[ذكر - سعودي]]/data[[#This Row],[سعودى الإجمالي]]</f>
        <v>0.54396667162624612</v>
      </c>
      <c r="M130" s="17">
        <f>data[[#This Row],[غير سعودى الإجمالي]]/data[[#This Row],[الإجمالي الكلي]]</f>
        <v>0.84909583234167518</v>
      </c>
      <c r="N130" s="19">
        <f>data[[#This Row],[ذكر - غير سعودي]]/data[[#This Row],[غير سعودى الإجمالي]]</f>
        <v>0.96965401986397726</v>
      </c>
    </row>
    <row r="131" spans="1:14" ht="22" customHeight="1">
      <c r="A131" s="18" t="s">
        <v>31</v>
      </c>
      <c r="B131" s="18" t="s">
        <v>18</v>
      </c>
      <c r="C131" s="16">
        <v>9288</v>
      </c>
      <c r="D131" s="16">
        <v>10342</v>
      </c>
      <c r="E131" s="16">
        <v>19630</v>
      </c>
      <c r="F131" s="16">
        <v>3869</v>
      </c>
      <c r="G131" s="16">
        <v>114377</v>
      </c>
      <c r="H131" s="16">
        <v>118246</v>
      </c>
      <c r="I131" s="16">
        <v>137876</v>
      </c>
      <c r="J131" s="17">
        <f>data[[#This Row],[سعودى الإجمالي]]/data[[#This Row],[الإجمالي الكلي]]</f>
        <v>0.1423743073486321</v>
      </c>
      <c r="K131" s="17">
        <f>data[[#This Row],[أنثى - سعودي]]/data[[#This Row],[سعودى الإجمالي]]</f>
        <v>0.47315333672949567</v>
      </c>
      <c r="L131" s="19">
        <f>data[[#This Row],[ذكر - سعودي]]/data[[#This Row],[سعودى الإجمالي]]</f>
        <v>0.52684666327050433</v>
      </c>
      <c r="M131" s="17">
        <f>data[[#This Row],[غير سعودى الإجمالي]]/data[[#This Row],[الإجمالي الكلي]]</f>
        <v>0.8576256926513679</v>
      </c>
      <c r="N131" s="19">
        <f>data[[#This Row],[ذكر - غير سعودي]]/data[[#This Row],[غير سعودى الإجمالي]]</f>
        <v>0.96728007712734465</v>
      </c>
    </row>
    <row r="132" spans="1:14" ht="22" customHeight="1">
      <c r="A132" s="18" t="s">
        <v>31</v>
      </c>
      <c r="B132" s="18" t="s">
        <v>19</v>
      </c>
      <c r="C132" s="16">
        <v>6782</v>
      </c>
      <c r="D132" s="16">
        <v>7767</v>
      </c>
      <c r="E132" s="16">
        <v>14549</v>
      </c>
      <c r="F132" s="16">
        <v>2904</v>
      </c>
      <c r="G132" s="16">
        <v>88959</v>
      </c>
      <c r="H132" s="16">
        <v>91863</v>
      </c>
      <c r="I132" s="16">
        <v>106412</v>
      </c>
      <c r="J132" s="17">
        <f>data[[#This Row],[سعودى الإجمالي]]/data[[#This Row],[الإجمالي الكلي]]</f>
        <v>0.13672330188324625</v>
      </c>
      <c r="K132" s="17">
        <f>data[[#This Row],[أنثى - سعودي]]/data[[#This Row],[سعودى الإجمالي]]</f>
        <v>0.46614887621142348</v>
      </c>
      <c r="L132" s="19">
        <f>data[[#This Row],[ذكر - سعودي]]/data[[#This Row],[سعودى الإجمالي]]</f>
        <v>0.53385112378857658</v>
      </c>
      <c r="M132" s="17">
        <f>data[[#This Row],[غير سعودى الإجمالي]]/data[[#This Row],[الإجمالي الكلي]]</f>
        <v>0.86327669811675378</v>
      </c>
      <c r="N132" s="19">
        <f>data[[#This Row],[ذكر - غير سعودي]]/data[[#This Row],[غير سعودى الإجمالي]]</f>
        <v>0.96838770778224093</v>
      </c>
    </row>
    <row r="133" spans="1:14" ht="22" customHeight="1">
      <c r="A133" s="18" t="s">
        <v>31</v>
      </c>
      <c r="B133" s="18" t="s">
        <v>20</v>
      </c>
      <c r="C133" s="16">
        <v>3069</v>
      </c>
      <c r="D133" s="16">
        <v>4252</v>
      </c>
      <c r="E133" s="16">
        <v>7321</v>
      </c>
      <c r="F133" s="16">
        <v>1604</v>
      </c>
      <c r="G133" s="16">
        <v>54458</v>
      </c>
      <c r="H133" s="16">
        <v>56062</v>
      </c>
      <c r="I133" s="16">
        <v>63383</v>
      </c>
      <c r="J133" s="17">
        <f>data[[#This Row],[سعودى الإجمالي]]/data[[#This Row],[الإجمالي الكلي]]</f>
        <v>0.11550415726614392</v>
      </c>
      <c r="K133" s="17">
        <f>data[[#This Row],[أنثى - سعودي]]/data[[#This Row],[سعودى الإجمالي]]</f>
        <v>0.41920502663570552</v>
      </c>
      <c r="L133" s="19">
        <f>data[[#This Row],[ذكر - سعودي]]/data[[#This Row],[سعودى الإجمالي]]</f>
        <v>0.58079497336429453</v>
      </c>
      <c r="M133" s="17">
        <f>data[[#This Row],[غير سعودى الإجمالي]]/data[[#This Row],[الإجمالي الكلي]]</f>
        <v>0.88449584273385606</v>
      </c>
      <c r="N133" s="19">
        <f>data[[#This Row],[ذكر - غير سعودي]]/data[[#This Row],[غير سعودى الإجمالي]]</f>
        <v>0.97138881952124434</v>
      </c>
    </row>
    <row r="134" spans="1:14" ht="22" customHeight="1">
      <c r="A134" s="18" t="s">
        <v>32</v>
      </c>
      <c r="B134" s="18" t="s">
        <v>10</v>
      </c>
      <c r="C134" s="16">
        <v>144</v>
      </c>
      <c r="D134" s="16">
        <v>510</v>
      </c>
      <c r="E134" s="16">
        <v>654</v>
      </c>
      <c r="F134" s="16">
        <v>4</v>
      </c>
      <c r="G134" s="16">
        <v>9</v>
      </c>
      <c r="H134" s="16">
        <v>13</v>
      </c>
      <c r="I134" s="16">
        <v>667</v>
      </c>
      <c r="J134" s="17">
        <f>data[[#This Row],[سعودى الإجمالي]]/data[[#This Row],[الإجمالي الكلي]]</f>
        <v>0.98050974512743627</v>
      </c>
      <c r="K134" s="17">
        <f>data[[#This Row],[أنثى - سعودي]]/data[[#This Row],[سعودى الإجمالي]]</f>
        <v>0.22018348623853212</v>
      </c>
      <c r="L134" s="19">
        <f>data[[#This Row],[ذكر - سعودي]]/data[[#This Row],[سعودى الإجمالي]]</f>
        <v>0.77981651376146788</v>
      </c>
      <c r="M134" s="17">
        <f>data[[#This Row],[غير سعودى الإجمالي]]/data[[#This Row],[الإجمالي الكلي]]</f>
        <v>1.9490254872563718E-2</v>
      </c>
      <c r="N134" s="19">
        <f>data[[#This Row],[ذكر - غير سعودي]]/data[[#This Row],[غير سعودى الإجمالي]]</f>
        <v>0.69230769230769229</v>
      </c>
    </row>
    <row r="135" spans="1:14" ht="22" customHeight="1">
      <c r="A135" s="18" t="s">
        <v>32</v>
      </c>
      <c r="B135" s="18" t="s">
        <v>11</v>
      </c>
      <c r="C135" s="16">
        <v>26</v>
      </c>
      <c r="D135" s="16">
        <v>38</v>
      </c>
      <c r="E135" s="16">
        <v>64</v>
      </c>
      <c r="F135" s="16">
        <v>23</v>
      </c>
      <c r="G135" s="16">
        <v>2129</v>
      </c>
      <c r="H135" s="16">
        <v>2152</v>
      </c>
      <c r="I135" s="16">
        <v>2216</v>
      </c>
      <c r="J135" s="17">
        <f>data[[#This Row],[سعودى الإجمالي]]/data[[#This Row],[الإجمالي الكلي]]</f>
        <v>2.8880866425992781E-2</v>
      </c>
      <c r="K135" s="17">
        <f>data[[#This Row],[أنثى - سعودي]]/data[[#This Row],[سعودى الإجمالي]]</f>
        <v>0.40625</v>
      </c>
      <c r="L135" s="19">
        <f>data[[#This Row],[ذكر - سعودي]]/data[[#This Row],[سعودى الإجمالي]]</f>
        <v>0.59375</v>
      </c>
      <c r="M135" s="17">
        <f>data[[#This Row],[غير سعودى الإجمالي]]/data[[#This Row],[الإجمالي الكلي]]</f>
        <v>0.97111913357400725</v>
      </c>
      <c r="N135" s="19">
        <f>data[[#This Row],[ذكر - غير سعودي]]/data[[#This Row],[غير سعودى الإجمالي]]</f>
        <v>0.98931226765799252</v>
      </c>
    </row>
    <row r="136" spans="1:14" ht="22" customHeight="1">
      <c r="A136" s="18" t="s">
        <v>32</v>
      </c>
      <c r="B136" s="18" t="s">
        <v>12</v>
      </c>
      <c r="C136" s="16">
        <v>1119</v>
      </c>
      <c r="D136" s="16">
        <v>2579</v>
      </c>
      <c r="E136" s="16">
        <v>3698</v>
      </c>
      <c r="F136" s="16">
        <v>316</v>
      </c>
      <c r="G136" s="16">
        <v>11280</v>
      </c>
      <c r="H136" s="16">
        <v>11596</v>
      </c>
      <c r="I136" s="16">
        <v>15294</v>
      </c>
      <c r="J136" s="17">
        <f>data[[#This Row],[سعودى الإجمالي]]/data[[#This Row],[الإجمالي الكلي]]</f>
        <v>0.24179416764744344</v>
      </c>
      <c r="K136" s="17">
        <f>data[[#This Row],[أنثى - سعودي]]/data[[#This Row],[سعودى الإجمالي]]</f>
        <v>0.30259599783666846</v>
      </c>
      <c r="L136" s="19">
        <f>data[[#This Row],[ذكر - سعودي]]/data[[#This Row],[سعودى الإجمالي]]</f>
        <v>0.69740400216333154</v>
      </c>
      <c r="M136" s="17">
        <f>data[[#This Row],[غير سعودى الإجمالي]]/data[[#This Row],[الإجمالي الكلي]]</f>
        <v>0.75820583235255656</v>
      </c>
      <c r="N136" s="19">
        <f>data[[#This Row],[ذكر - غير سعودي]]/data[[#This Row],[غير سعودى الإجمالي]]</f>
        <v>0.97274922387030005</v>
      </c>
    </row>
    <row r="137" spans="1:14" ht="22" customHeight="1">
      <c r="A137" s="18" t="s">
        <v>32</v>
      </c>
      <c r="B137" s="18" t="s">
        <v>13</v>
      </c>
      <c r="C137" s="16">
        <v>1686</v>
      </c>
      <c r="D137" s="16">
        <v>2076</v>
      </c>
      <c r="E137" s="16">
        <v>3762</v>
      </c>
      <c r="F137" s="16">
        <v>730</v>
      </c>
      <c r="G137" s="16">
        <v>27629</v>
      </c>
      <c r="H137" s="16">
        <v>28359</v>
      </c>
      <c r="I137" s="16">
        <v>32121</v>
      </c>
      <c r="J137" s="17">
        <f>data[[#This Row],[سعودى الإجمالي]]/data[[#This Row],[الإجمالي الكلي]]</f>
        <v>0.11711964135612217</v>
      </c>
      <c r="K137" s="17">
        <f>data[[#This Row],[أنثى - سعودي]]/data[[#This Row],[سعودى الإجمالي]]</f>
        <v>0.44816586921850082</v>
      </c>
      <c r="L137" s="19">
        <f>data[[#This Row],[ذكر - سعودي]]/data[[#This Row],[سعودى الإجمالي]]</f>
        <v>0.55183413078149923</v>
      </c>
      <c r="M137" s="17">
        <f>data[[#This Row],[غير سعودى الإجمالي]]/data[[#This Row],[الإجمالي الكلي]]</f>
        <v>0.88288035864387782</v>
      </c>
      <c r="N137" s="19">
        <f>data[[#This Row],[ذكر - غير سعودي]]/data[[#This Row],[غير سعودى الإجمالي]]</f>
        <v>0.9742586127860644</v>
      </c>
    </row>
    <row r="138" spans="1:14" ht="22" customHeight="1">
      <c r="A138" s="18" t="s">
        <v>32</v>
      </c>
      <c r="B138" s="18" t="s">
        <v>14</v>
      </c>
      <c r="C138" s="16">
        <v>1575</v>
      </c>
      <c r="D138" s="16">
        <v>1444</v>
      </c>
      <c r="E138" s="16">
        <v>3019</v>
      </c>
      <c r="F138" s="16">
        <v>645</v>
      </c>
      <c r="G138" s="16">
        <v>24004</v>
      </c>
      <c r="H138" s="16">
        <v>24649</v>
      </c>
      <c r="I138" s="16">
        <v>27668</v>
      </c>
      <c r="J138" s="17">
        <f>data[[#This Row],[سعودى الإجمالي]]/data[[#This Row],[الإجمالي الكلي]]</f>
        <v>0.10911522336272951</v>
      </c>
      <c r="K138" s="17">
        <f>data[[#This Row],[أنثى - سعودي]]/data[[#This Row],[سعودى الإجمالي]]</f>
        <v>0.52169592580324609</v>
      </c>
      <c r="L138" s="19">
        <f>data[[#This Row],[ذكر - سعودي]]/data[[#This Row],[سعودى الإجمالي]]</f>
        <v>0.47830407419675391</v>
      </c>
      <c r="M138" s="17">
        <f>data[[#This Row],[غير سعودى الإجمالي]]/data[[#This Row],[الإجمالي الكلي]]</f>
        <v>0.8908847766372705</v>
      </c>
      <c r="N138" s="19">
        <f>data[[#This Row],[ذكر - غير سعودي]]/data[[#This Row],[غير سعودى الإجمالي]]</f>
        <v>0.97383260984218423</v>
      </c>
    </row>
    <row r="139" spans="1:14" ht="22" customHeight="1">
      <c r="A139" s="18" t="s">
        <v>32</v>
      </c>
      <c r="B139" s="18" t="s">
        <v>15</v>
      </c>
      <c r="C139" s="16">
        <v>1205</v>
      </c>
      <c r="D139" s="16">
        <v>808</v>
      </c>
      <c r="E139" s="16">
        <v>2013</v>
      </c>
      <c r="F139" s="16">
        <v>546</v>
      </c>
      <c r="G139" s="16">
        <v>25391</v>
      </c>
      <c r="H139" s="16">
        <v>25937</v>
      </c>
      <c r="I139" s="16">
        <v>27950</v>
      </c>
      <c r="J139" s="17">
        <f>data[[#This Row],[سعودى الإجمالي]]/data[[#This Row],[الإجمالي الكلي]]</f>
        <v>7.2021466905187834E-2</v>
      </c>
      <c r="K139" s="17">
        <f>data[[#This Row],[أنثى - سعودي]]/data[[#This Row],[سعودى الإجمالي]]</f>
        <v>0.5986090412319921</v>
      </c>
      <c r="L139" s="19">
        <f>data[[#This Row],[ذكر - سعودي]]/data[[#This Row],[سعودى الإجمالي]]</f>
        <v>0.40139095876800795</v>
      </c>
      <c r="M139" s="17">
        <f>data[[#This Row],[غير سعودى الإجمالي]]/data[[#This Row],[الإجمالي الكلي]]</f>
        <v>0.92797853309481215</v>
      </c>
      <c r="N139" s="19">
        <f>data[[#This Row],[ذكر - غير سعودي]]/data[[#This Row],[غير سعودى الإجمالي]]</f>
        <v>0.97894899178779349</v>
      </c>
    </row>
    <row r="140" spans="1:14" ht="22" customHeight="1">
      <c r="A140" s="18" t="s">
        <v>32</v>
      </c>
      <c r="B140" s="18" t="s">
        <v>16</v>
      </c>
      <c r="C140" s="16">
        <v>923</v>
      </c>
      <c r="D140" s="16">
        <v>592</v>
      </c>
      <c r="E140" s="16">
        <v>1515</v>
      </c>
      <c r="F140" s="16">
        <v>366</v>
      </c>
      <c r="G140" s="16">
        <v>20940</v>
      </c>
      <c r="H140" s="16">
        <v>21306</v>
      </c>
      <c r="I140" s="16">
        <v>22821</v>
      </c>
      <c r="J140" s="17">
        <f>data[[#This Row],[سعودى الإجمالي]]/data[[#This Row],[الإجمالي الكلي]]</f>
        <v>6.638622321545945E-2</v>
      </c>
      <c r="K140" s="17">
        <f>data[[#This Row],[أنثى - سعودي]]/data[[#This Row],[سعودى الإجمالي]]</f>
        <v>0.60924092409240926</v>
      </c>
      <c r="L140" s="19">
        <f>data[[#This Row],[ذكر - سعودي]]/data[[#This Row],[سعودى الإجمالي]]</f>
        <v>0.39075907590759074</v>
      </c>
      <c r="M140" s="17">
        <f>data[[#This Row],[غير سعودى الإجمالي]]/data[[#This Row],[الإجمالي الكلي]]</f>
        <v>0.93361377678454061</v>
      </c>
      <c r="N140" s="19">
        <f>data[[#This Row],[ذكر - غير سعودي]]/data[[#This Row],[غير سعودى الإجمالي]]</f>
        <v>0.98282174035482961</v>
      </c>
    </row>
    <row r="141" spans="1:14" ht="22" customHeight="1">
      <c r="A141" s="18" t="s">
        <v>32</v>
      </c>
      <c r="B141" s="18" t="s">
        <v>17</v>
      </c>
      <c r="C141" s="16">
        <v>551</v>
      </c>
      <c r="D141" s="16">
        <v>409</v>
      </c>
      <c r="E141" s="16">
        <v>960</v>
      </c>
      <c r="F141" s="16">
        <v>220</v>
      </c>
      <c r="G141" s="16">
        <v>13733</v>
      </c>
      <c r="H141" s="16">
        <v>13953</v>
      </c>
      <c r="I141" s="16">
        <v>14913</v>
      </c>
      <c r="J141" s="17">
        <f>data[[#This Row],[سعودى الإجمالي]]/data[[#This Row],[الإجمالي الكلي]]</f>
        <v>6.4373365520016088E-2</v>
      </c>
      <c r="K141" s="17">
        <f>data[[#This Row],[أنثى - سعودي]]/data[[#This Row],[سعودى الإجمالي]]</f>
        <v>0.57395833333333335</v>
      </c>
      <c r="L141" s="19">
        <f>data[[#This Row],[ذكر - سعودي]]/data[[#This Row],[سعودى الإجمالي]]</f>
        <v>0.42604166666666665</v>
      </c>
      <c r="M141" s="17">
        <f>data[[#This Row],[غير سعودى الإجمالي]]/data[[#This Row],[الإجمالي الكلي]]</f>
        <v>0.93562663447998395</v>
      </c>
      <c r="N141" s="19">
        <f>data[[#This Row],[ذكر - غير سعودي]]/data[[#This Row],[غير سعودى الإجمالي]]</f>
        <v>0.98423278148068516</v>
      </c>
    </row>
    <row r="142" spans="1:14" ht="22" customHeight="1">
      <c r="A142" s="18" t="s">
        <v>32</v>
      </c>
      <c r="B142" s="18" t="s">
        <v>18</v>
      </c>
      <c r="C142" s="16">
        <v>362</v>
      </c>
      <c r="D142" s="16">
        <v>273</v>
      </c>
      <c r="E142" s="16">
        <v>635</v>
      </c>
      <c r="F142" s="16">
        <v>122</v>
      </c>
      <c r="G142" s="16">
        <v>7651</v>
      </c>
      <c r="H142" s="16">
        <v>7773</v>
      </c>
      <c r="I142" s="16">
        <v>8408</v>
      </c>
      <c r="J142" s="17">
        <f>data[[#This Row],[سعودى الإجمالي]]/data[[#This Row],[الإجمالي الكلي]]</f>
        <v>7.5523311132254994E-2</v>
      </c>
      <c r="K142" s="17">
        <f>data[[#This Row],[أنثى - سعودي]]/data[[#This Row],[سعودى الإجمالي]]</f>
        <v>0.57007874015748028</v>
      </c>
      <c r="L142" s="19">
        <f>data[[#This Row],[ذكر - سعودي]]/data[[#This Row],[سعودى الإجمالي]]</f>
        <v>0.42992125984251967</v>
      </c>
      <c r="M142" s="17">
        <f>data[[#This Row],[غير سعودى الإجمالي]]/data[[#This Row],[الإجمالي الكلي]]</f>
        <v>0.92447668886774503</v>
      </c>
      <c r="N142" s="19">
        <f>data[[#This Row],[ذكر - غير سعودي]]/data[[#This Row],[غير سعودى الإجمالي]]</f>
        <v>0.98430464428148723</v>
      </c>
    </row>
    <row r="143" spans="1:14" ht="22" customHeight="1">
      <c r="A143" s="18" t="s">
        <v>32</v>
      </c>
      <c r="B143" s="18" t="s">
        <v>19</v>
      </c>
      <c r="C143" s="16">
        <v>301</v>
      </c>
      <c r="D143" s="16">
        <v>300</v>
      </c>
      <c r="E143" s="16">
        <v>601</v>
      </c>
      <c r="F143" s="16">
        <v>68</v>
      </c>
      <c r="G143" s="16">
        <v>4986</v>
      </c>
      <c r="H143" s="16">
        <v>5054</v>
      </c>
      <c r="I143" s="16">
        <v>5655</v>
      </c>
      <c r="J143" s="17">
        <f>data[[#This Row],[سعودى الإجمالي]]/data[[#This Row],[الإجمالي الكلي]]</f>
        <v>0.10627763041556144</v>
      </c>
      <c r="K143" s="17">
        <f>data[[#This Row],[أنثى - سعودي]]/data[[#This Row],[سعودى الإجمالي]]</f>
        <v>0.50083194675540765</v>
      </c>
      <c r="L143" s="19">
        <f>data[[#This Row],[ذكر - سعودي]]/data[[#This Row],[سعودى الإجمالي]]</f>
        <v>0.49916805324459235</v>
      </c>
      <c r="M143" s="17">
        <f>data[[#This Row],[غير سعودى الإجمالي]]/data[[#This Row],[الإجمالي الكلي]]</f>
        <v>0.89372236958443851</v>
      </c>
      <c r="N143" s="19">
        <f>data[[#This Row],[ذكر - غير سعودي]]/data[[#This Row],[غير سعودى الإجمالي]]</f>
        <v>0.98654531064503359</v>
      </c>
    </row>
    <row r="144" spans="1:14" ht="22" customHeight="1">
      <c r="A144" s="18" t="s">
        <v>32</v>
      </c>
      <c r="B144" s="18" t="s">
        <v>20</v>
      </c>
      <c r="C144" s="16">
        <v>102</v>
      </c>
      <c r="D144" s="16">
        <v>121</v>
      </c>
      <c r="E144" s="16">
        <v>223</v>
      </c>
      <c r="F144" s="16">
        <v>29</v>
      </c>
      <c r="G144" s="16">
        <v>2704</v>
      </c>
      <c r="H144" s="16">
        <v>2733</v>
      </c>
      <c r="I144" s="16">
        <v>2956</v>
      </c>
      <c r="J144" s="17">
        <f>data[[#This Row],[سعودى الإجمالي]]/data[[#This Row],[الإجمالي الكلي]]</f>
        <v>7.5439783491204324E-2</v>
      </c>
      <c r="K144" s="17">
        <f>data[[#This Row],[أنثى - سعودي]]/data[[#This Row],[سعودى الإجمالي]]</f>
        <v>0.45739910313901344</v>
      </c>
      <c r="L144" s="19">
        <f>data[[#This Row],[ذكر - سعودي]]/data[[#This Row],[سعودى الإجمالي]]</f>
        <v>0.54260089686098656</v>
      </c>
      <c r="M144" s="17">
        <f>data[[#This Row],[غير سعودى الإجمالي]]/data[[#This Row],[الإجمالي الكلي]]</f>
        <v>0.92456021650879572</v>
      </c>
      <c r="N144" s="19">
        <f>data[[#This Row],[ذكر - غير سعودي]]/data[[#This Row],[غير سعودى الإجمالي]]</f>
        <v>0.9893889498719356</v>
      </c>
    </row>
    <row r="155" spans="7:7" ht="22" customHeight="1">
      <c r="G155" s="1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7902-5D2C-AA47-98FF-C48B3C46F9FC}">
  <sheetPr>
    <tabColor theme="3"/>
  </sheetPr>
  <dimension ref="A3:M159"/>
  <sheetViews>
    <sheetView zoomScale="75" workbookViewId="0">
      <selection activeCell="H34" sqref="H34"/>
    </sheetView>
  </sheetViews>
  <sheetFormatPr baseColWidth="10" defaultRowHeight="16"/>
  <cols>
    <col min="1" max="1" width="15" bestFit="1" customWidth="1"/>
    <col min="2" max="2" width="20.6640625" bestFit="1" customWidth="1"/>
    <col min="3" max="3" width="26.6640625" style="6" bestFit="1" customWidth="1"/>
    <col min="4" max="4" width="22.83203125" style="6" bestFit="1" customWidth="1"/>
    <col min="5" max="5" width="27" style="6" bestFit="1" customWidth="1"/>
    <col min="6" max="6" width="25.5" style="6" bestFit="1" customWidth="1"/>
    <col min="9" max="9" width="20.6640625" bestFit="1" customWidth="1"/>
    <col min="10" max="10" width="26.6640625" bestFit="1" customWidth="1"/>
    <col min="11" max="11" width="22.83203125" bestFit="1" customWidth="1"/>
    <col min="12" max="12" width="27" bestFit="1" customWidth="1"/>
    <col min="13" max="13" width="25.5" bestFit="1" customWidth="1"/>
    <col min="14" max="14" width="24.33203125" customWidth="1"/>
  </cols>
  <sheetData>
    <row r="3" spans="1:13">
      <c r="A3" s="2" t="s">
        <v>38</v>
      </c>
      <c r="B3" s="5" t="s">
        <v>39</v>
      </c>
      <c r="C3" s="5" t="s">
        <v>40</v>
      </c>
      <c r="D3" t="s">
        <v>41</v>
      </c>
      <c r="E3" t="s">
        <v>42</v>
      </c>
      <c r="F3" t="s">
        <v>43</v>
      </c>
    </row>
    <row r="4" spans="1:13">
      <c r="A4" s="3" t="s">
        <v>9</v>
      </c>
      <c r="B4" s="5">
        <v>0.18966088433457468</v>
      </c>
      <c r="C4" s="5">
        <v>0.42804883170495905</v>
      </c>
      <c r="D4" s="1">
        <v>0.81033911566542538</v>
      </c>
      <c r="E4" s="1">
        <v>0.57195116829504089</v>
      </c>
      <c r="F4" s="1">
        <v>0.98188618549843121</v>
      </c>
    </row>
    <row r="5" spans="1:13">
      <c r="A5" s="4" t="s">
        <v>12</v>
      </c>
      <c r="B5" s="5">
        <v>0.3888727060879697</v>
      </c>
      <c r="C5" s="5">
        <v>0.30337078651685395</v>
      </c>
      <c r="D5" s="1">
        <v>0.61112729391203024</v>
      </c>
      <c r="E5" s="1">
        <v>0.6966292134831461</v>
      </c>
      <c r="F5" s="1">
        <v>0.98331744518589137</v>
      </c>
    </row>
    <row r="6" spans="1:13">
      <c r="A6" s="4" t="s">
        <v>13</v>
      </c>
      <c r="B6" s="5">
        <v>0.19615816040381379</v>
      </c>
      <c r="C6" s="5">
        <v>0.45103645461043601</v>
      </c>
      <c r="D6" s="1">
        <v>0.80384183959618616</v>
      </c>
      <c r="E6" s="1">
        <v>0.54896354538956393</v>
      </c>
      <c r="F6" s="1">
        <v>0.97819640676783537</v>
      </c>
      <c r="I6" t="s">
        <v>39</v>
      </c>
      <c r="J6" t="s">
        <v>40</v>
      </c>
      <c r="K6" t="s">
        <v>41</v>
      </c>
      <c r="L6" t="s">
        <v>42</v>
      </c>
      <c r="M6" t="s">
        <v>43</v>
      </c>
    </row>
    <row r="7" spans="1:13">
      <c r="A7" s="4" t="s">
        <v>14</v>
      </c>
      <c r="B7" s="5">
        <v>0.14899636265660784</v>
      </c>
      <c r="C7" s="5">
        <v>0.50180831826401451</v>
      </c>
      <c r="D7" s="1">
        <v>0.85100363734339213</v>
      </c>
      <c r="E7" s="1">
        <v>0.49819168173598555</v>
      </c>
      <c r="F7" s="1">
        <v>0.97783758113028341</v>
      </c>
      <c r="I7" s="7">
        <v>0.21494049344749125</v>
      </c>
      <c r="J7" s="7">
        <v>0.42779242103713466</v>
      </c>
      <c r="K7" s="7">
        <v>0.785059506552509</v>
      </c>
      <c r="L7" s="7">
        <v>0.57220757896286545</v>
      </c>
      <c r="M7" s="7">
        <v>0.96498005819388122</v>
      </c>
    </row>
    <row r="8" spans="1:13">
      <c r="A8" s="4" t="s">
        <v>15</v>
      </c>
      <c r="B8" s="5">
        <v>9.0828252032520332E-2</v>
      </c>
      <c r="C8" s="5">
        <v>0.52447552447552448</v>
      </c>
      <c r="D8" s="1">
        <v>0.90917174796747968</v>
      </c>
      <c r="E8" s="1">
        <v>0.47552447552447552</v>
      </c>
      <c r="F8" s="1">
        <v>0.97862232779097391</v>
      </c>
    </row>
    <row r="9" spans="1:13">
      <c r="A9" s="4" t="s">
        <v>16</v>
      </c>
      <c r="B9" s="5">
        <v>7.8858814923189469E-2</v>
      </c>
      <c r="C9" s="5">
        <v>0.61038961038961037</v>
      </c>
      <c r="D9" s="1">
        <v>0.92114118507681053</v>
      </c>
      <c r="E9" s="1">
        <v>0.38961038961038963</v>
      </c>
      <c r="F9" s="1">
        <v>0.9814167725540025</v>
      </c>
    </row>
    <row r="10" spans="1:13">
      <c r="A10" s="4" t="s">
        <v>17</v>
      </c>
      <c r="B10" s="5">
        <v>6.5923505669805885E-2</v>
      </c>
      <c r="C10" s="5">
        <v>0.54227405247813409</v>
      </c>
      <c r="D10" s="1">
        <v>0.93407649433019413</v>
      </c>
      <c r="E10" s="1">
        <v>0.45772594752186591</v>
      </c>
      <c r="F10" s="1">
        <v>0.98024691358024696</v>
      </c>
    </row>
    <row r="11" spans="1:13">
      <c r="A11" s="4" t="s">
        <v>18</v>
      </c>
      <c r="B11" s="5">
        <v>7.4682814302191466E-2</v>
      </c>
      <c r="C11" s="5">
        <v>0.52895752895752901</v>
      </c>
      <c r="D11" s="1">
        <v>0.92531718569780852</v>
      </c>
      <c r="E11" s="1">
        <v>0.47104247104247104</v>
      </c>
      <c r="F11" s="1">
        <v>0.98348395138672484</v>
      </c>
    </row>
    <row r="12" spans="1:13">
      <c r="A12" s="4" t="s">
        <v>19</v>
      </c>
      <c r="B12" s="5">
        <v>0.11452928094885099</v>
      </c>
      <c r="C12" s="5">
        <v>0.38834951456310679</v>
      </c>
      <c r="D12" s="1">
        <v>0.88547071905114905</v>
      </c>
      <c r="E12" s="1">
        <v>0.61165048543689315</v>
      </c>
      <c r="F12" s="1">
        <v>0.98409376308078689</v>
      </c>
    </row>
    <row r="13" spans="1:13">
      <c r="A13" s="4" t="s">
        <v>20</v>
      </c>
      <c r="B13" s="5">
        <v>8.9399744572158366E-2</v>
      </c>
      <c r="C13" s="5">
        <v>0.30714285714285716</v>
      </c>
      <c r="D13" s="1">
        <v>0.91060025542784162</v>
      </c>
      <c r="E13" s="1">
        <v>0.69285714285714284</v>
      </c>
      <c r="F13" s="1">
        <v>0.9810659186535764</v>
      </c>
    </row>
    <row r="14" spans="1:13">
      <c r="A14" s="4" t="s">
        <v>10</v>
      </c>
      <c r="B14" s="5">
        <v>0.76078431372549016</v>
      </c>
      <c r="C14" s="5">
        <v>0.34020618556701032</v>
      </c>
      <c r="D14" s="1">
        <v>0.23921568627450981</v>
      </c>
      <c r="E14" s="1">
        <v>0.65979381443298968</v>
      </c>
      <c r="F14" s="1">
        <v>1</v>
      </c>
    </row>
    <row r="15" spans="1:13">
      <c r="A15" s="4" t="s">
        <v>11</v>
      </c>
      <c r="B15" s="5">
        <v>7.7235772357723581E-2</v>
      </c>
      <c r="C15" s="5">
        <v>0.21052631578947367</v>
      </c>
      <c r="D15" s="1">
        <v>0.92276422764227639</v>
      </c>
      <c r="E15" s="1">
        <v>0.78947368421052633</v>
      </c>
      <c r="F15" s="1">
        <v>0.97246696035242286</v>
      </c>
    </row>
    <row r="16" spans="1:13">
      <c r="A16" s="3" t="s">
        <v>21</v>
      </c>
      <c r="B16" s="5">
        <v>0.19774810124575135</v>
      </c>
      <c r="C16" s="5">
        <v>0.43283661988220684</v>
      </c>
      <c r="D16" s="1">
        <v>0.80225189875424863</v>
      </c>
      <c r="E16" s="1">
        <v>0.5671633801177931</v>
      </c>
      <c r="F16" s="1">
        <v>0.977028240690614</v>
      </c>
    </row>
    <row r="17" spans="1:6">
      <c r="A17" s="4" t="s">
        <v>12</v>
      </c>
      <c r="B17" s="5">
        <v>0.41955775829203201</v>
      </c>
      <c r="C17" s="5">
        <v>0.30531576556110857</v>
      </c>
      <c r="D17" s="1">
        <v>0.58044224170796799</v>
      </c>
      <c r="E17" s="1">
        <v>0.69468423443889138</v>
      </c>
      <c r="F17" s="1">
        <v>0.94482758620689655</v>
      </c>
    </row>
    <row r="18" spans="1:6">
      <c r="A18" s="4" t="s">
        <v>13</v>
      </c>
      <c r="B18" s="5">
        <v>0.2092820999367489</v>
      </c>
      <c r="C18" s="5">
        <v>0.47147714393653195</v>
      </c>
      <c r="D18" s="1">
        <v>0.79071790006325116</v>
      </c>
      <c r="E18" s="1">
        <v>0.52852285606346805</v>
      </c>
      <c r="F18" s="1">
        <v>0.96580341965803418</v>
      </c>
    </row>
    <row r="19" spans="1:6">
      <c r="A19" s="4" t="s">
        <v>14</v>
      </c>
      <c r="B19" s="5">
        <v>0.16216437459070071</v>
      </c>
      <c r="C19" s="5">
        <v>0.51135790005047954</v>
      </c>
      <c r="D19" s="1">
        <v>0.83783562540929923</v>
      </c>
      <c r="E19" s="1">
        <v>0.48864209994952046</v>
      </c>
      <c r="F19" s="1">
        <v>0.96599902296042994</v>
      </c>
    </row>
    <row r="20" spans="1:6">
      <c r="A20" s="4" t="s">
        <v>15</v>
      </c>
      <c r="B20" s="5">
        <v>7.9759377211606516E-2</v>
      </c>
      <c r="C20" s="5">
        <v>0.53859804791481813</v>
      </c>
      <c r="D20" s="1">
        <v>0.92024062278839347</v>
      </c>
      <c r="E20" s="1">
        <v>0.46140195208518192</v>
      </c>
      <c r="F20" s="1">
        <v>0.97062216411597324</v>
      </c>
    </row>
    <row r="21" spans="1:6">
      <c r="A21" s="4" t="s">
        <v>16</v>
      </c>
      <c r="B21" s="5">
        <v>6.4446831364124602E-2</v>
      </c>
      <c r="C21" s="5">
        <v>0.57692307692307687</v>
      </c>
      <c r="D21" s="1">
        <v>0.93555316863587545</v>
      </c>
      <c r="E21" s="1">
        <v>0.42307692307692307</v>
      </c>
      <c r="F21" s="1">
        <v>0.97677294003355997</v>
      </c>
    </row>
    <row r="22" spans="1:6">
      <c r="A22" s="4" t="s">
        <v>17</v>
      </c>
      <c r="B22" s="5">
        <v>4.7465540240106713E-2</v>
      </c>
      <c r="C22" s="5">
        <v>0.54098360655737709</v>
      </c>
      <c r="D22" s="1">
        <v>0.95253445975989326</v>
      </c>
      <c r="E22" s="1">
        <v>0.45901639344262296</v>
      </c>
      <c r="F22" s="1">
        <v>0.98086124401913877</v>
      </c>
    </row>
    <row r="23" spans="1:6">
      <c r="A23" s="4" t="s">
        <v>18</v>
      </c>
      <c r="B23" s="5">
        <v>4.7895500725689405E-2</v>
      </c>
      <c r="C23" s="5">
        <v>0.45454545454545453</v>
      </c>
      <c r="D23" s="1">
        <v>0.95210449927431062</v>
      </c>
      <c r="E23" s="1">
        <v>0.54545454545454541</v>
      </c>
      <c r="F23" s="1">
        <v>0.98323170731707321</v>
      </c>
    </row>
    <row r="24" spans="1:6">
      <c r="A24" s="4" t="s">
        <v>19</v>
      </c>
      <c r="B24" s="5">
        <v>6.7730061349693255E-2</v>
      </c>
      <c r="C24" s="5">
        <v>0.37681159420289856</v>
      </c>
      <c r="D24" s="1">
        <v>0.93226993865030672</v>
      </c>
      <c r="E24" s="1">
        <v>0.62318840579710144</v>
      </c>
      <c r="F24" s="1">
        <v>0.98789155040800214</v>
      </c>
    </row>
    <row r="25" spans="1:6">
      <c r="A25" s="4" t="s">
        <v>20</v>
      </c>
      <c r="B25" s="5">
        <v>5.458422174840085E-2</v>
      </c>
      <c r="C25" s="5">
        <v>0.421875</v>
      </c>
      <c r="D25" s="1">
        <v>0.94541577825159917</v>
      </c>
      <c r="E25" s="1">
        <v>0.578125</v>
      </c>
      <c r="F25" s="1">
        <v>0.98962562020748757</v>
      </c>
    </row>
    <row r="26" spans="1:6">
      <c r="A26" s="4" t="s">
        <v>10</v>
      </c>
      <c r="B26" s="5">
        <v>0.9803370786516854</v>
      </c>
      <c r="C26" s="5">
        <v>0.23495702005730659</v>
      </c>
      <c r="D26" s="1">
        <v>1.9662921348314606E-2</v>
      </c>
      <c r="E26" s="1">
        <v>0.76504297994269344</v>
      </c>
      <c r="F26" s="1">
        <v>1</v>
      </c>
    </row>
    <row r="27" spans="1:6">
      <c r="A27" s="4" t="s">
        <v>11</v>
      </c>
      <c r="B27" s="5">
        <v>4.200626959247649E-2</v>
      </c>
      <c r="C27" s="5">
        <v>0.32835820895522388</v>
      </c>
      <c r="D27" s="1">
        <v>0.95799373040752356</v>
      </c>
      <c r="E27" s="1">
        <v>0.67164179104477617</v>
      </c>
      <c r="F27" s="1">
        <v>0.98167539267015702</v>
      </c>
    </row>
    <row r="28" spans="1:6">
      <c r="A28" s="3" t="s">
        <v>22</v>
      </c>
      <c r="B28" s="5">
        <v>0.18992495044192081</v>
      </c>
      <c r="C28" s="5">
        <v>0.40746754760269766</v>
      </c>
      <c r="D28" s="1">
        <v>0.81007504955807907</v>
      </c>
      <c r="E28" s="1">
        <v>0.59253245239730223</v>
      </c>
      <c r="F28" s="1">
        <v>0.94895206272543675</v>
      </c>
    </row>
    <row r="29" spans="1:6">
      <c r="A29" s="4" t="s">
        <v>12</v>
      </c>
      <c r="B29" s="5">
        <v>0.28444545661580506</v>
      </c>
      <c r="C29" s="5">
        <v>0.36028823058446757</v>
      </c>
      <c r="D29" s="1">
        <v>0.715554543384195</v>
      </c>
      <c r="E29" s="1">
        <v>0.63971176941553243</v>
      </c>
      <c r="F29" s="1">
        <v>0.94143857415658816</v>
      </c>
    </row>
    <row r="30" spans="1:6">
      <c r="A30" s="4" t="s">
        <v>13</v>
      </c>
      <c r="B30" s="5">
        <v>0.16083185285818791</v>
      </c>
      <c r="C30" s="5">
        <v>0.46198830409356723</v>
      </c>
      <c r="D30" s="1">
        <v>0.83916814714181209</v>
      </c>
      <c r="E30" s="1">
        <v>0.53801169590643272</v>
      </c>
      <c r="F30" s="1">
        <v>0.95666251556662518</v>
      </c>
    </row>
    <row r="31" spans="1:6">
      <c r="A31" s="4" t="s">
        <v>14</v>
      </c>
      <c r="B31" s="5">
        <v>0.16247700797057021</v>
      </c>
      <c r="C31" s="5">
        <v>0.39182389937106921</v>
      </c>
      <c r="D31" s="1">
        <v>0.83752299202942981</v>
      </c>
      <c r="E31" s="1">
        <v>0.60817610062893079</v>
      </c>
      <c r="F31" s="1">
        <v>0.95839433870180579</v>
      </c>
    </row>
    <row r="32" spans="1:6">
      <c r="A32" s="4" t="s">
        <v>15</v>
      </c>
      <c r="B32" s="5">
        <v>8.1854143422253778E-2</v>
      </c>
      <c r="C32" s="5">
        <v>0.46220570012391576</v>
      </c>
      <c r="D32" s="1">
        <v>0.91814585657774617</v>
      </c>
      <c r="E32" s="1">
        <v>0.53779429987608429</v>
      </c>
      <c r="F32" s="1">
        <v>0.96000883782589486</v>
      </c>
    </row>
    <row r="33" spans="1:6">
      <c r="A33" s="4" t="s">
        <v>16</v>
      </c>
      <c r="B33" s="5">
        <v>7.6092233009708743E-2</v>
      </c>
      <c r="C33" s="5">
        <v>0.52472089314194581</v>
      </c>
      <c r="D33" s="1">
        <v>0.92390776699029131</v>
      </c>
      <c r="E33" s="1">
        <v>0.47527910685805425</v>
      </c>
      <c r="F33" s="1">
        <v>0.96295809799027976</v>
      </c>
    </row>
    <row r="34" spans="1:6">
      <c r="A34" s="4" t="s">
        <v>17</v>
      </c>
      <c r="B34" s="5">
        <v>6.2137248207579376E-2</v>
      </c>
      <c r="C34" s="5">
        <v>0.4532967032967033</v>
      </c>
      <c r="D34" s="1">
        <v>0.93786275179242062</v>
      </c>
      <c r="E34" s="1">
        <v>0.54670329670329665</v>
      </c>
      <c r="F34" s="1">
        <v>0.96068438296323266</v>
      </c>
    </row>
    <row r="35" spans="1:6">
      <c r="A35" s="4" t="s">
        <v>18</v>
      </c>
      <c r="B35" s="5">
        <v>6.6275659824046915E-2</v>
      </c>
      <c r="C35" s="5">
        <v>0.38053097345132741</v>
      </c>
      <c r="D35" s="1">
        <v>0.93372434017595307</v>
      </c>
      <c r="E35" s="1">
        <v>0.61946902654867253</v>
      </c>
      <c r="F35" s="1">
        <v>0.96670854271356788</v>
      </c>
    </row>
    <row r="36" spans="1:6">
      <c r="A36" s="4" t="s">
        <v>19</v>
      </c>
      <c r="B36" s="5">
        <v>8.7479935794542538E-2</v>
      </c>
      <c r="C36" s="5">
        <v>0.38532110091743121</v>
      </c>
      <c r="D36" s="1">
        <v>0.9125200642054575</v>
      </c>
      <c r="E36" s="1">
        <v>0.61467889908256879</v>
      </c>
      <c r="F36" s="1">
        <v>0.97845206684256814</v>
      </c>
    </row>
    <row r="37" spans="1:6">
      <c r="A37" s="4" t="s">
        <v>20</v>
      </c>
      <c r="B37" s="5">
        <v>8.1250000000000003E-2</v>
      </c>
      <c r="C37" s="5">
        <v>0.4358974358974359</v>
      </c>
      <c r="D37" s="1">
        <v>0.91874999999999996</v>
      </c>
      <c r="E37" s="1">
        <v>0.5641025641025641</v>
      </c>
      <c r="F37" s="1">
        <v>0.97203325774754346</v>
      </c>
    </row>
    <row r="38" spans="1:6">
      <c r="A38" s="4" t="s">
        <v>10</v>
      </c>
      <c r="B38" s="5">
        <v>0.97747747747747749</v>
      </c>
      <c r="C38" s="5">
        <v>0.29953917050691242</v>
      </c>
      <c r="D38" s="1">
        <v>2.2522522522522521E-2</v>
      </c>
      <c r="E38" s="1">
        <v>0.70046082949308752</v>
      </c>
      <c r="F38" s="1">
        <v>0.8</v>
      </c>
    </row>
    <row r="39" spans="1:6">
      <c r="A39" s="4" t="s">
        <v>11</v>
      </c>
      <c r="B39" s="5">
        <v>4.8853439680957129E-2</v>
      </c>
      <c r="C39" s="5">
        <v>0.32653061224489793</v>
      </c>
      <c r="D39" s="1">
        <v>0.95114656031904288</v>
      </c>
      <c r="E39" s="1">
        <v>0.67346938775510201</v>
      </c>
      <c r="F39" s="1">
        <v>0.98113207547169812</v>
      </c>
    </row>
    <row r="40" spans="1:6">
      <c r="A40" s="3" t="s">
        <v>23</v>
      </c>
      <c r="B40" s="5">
        <v>0.24278274616410853</v>
      </c>
      <c r="C40" s="5">
        <v>0.42934564050477336</v>
      </c>
      <c r="D40" s="1">
        <v>0.75721725383589156</v>
      </c>
      <c r="E40" s="1">
        <v>0.57065435949522658</v>
      </c>
      <c r="F40" s="1">
        <v>0.95367230561452232</v>
      </c>
    </row>
    <row r="41" spans="1:6">
      <c r="A41" s="4" t="s">
        <v>12</v>
      </c>
      <c r="B41" s="5">
        <v>0.30715833547581445</v>
      </c>
      <c r="C41" s="5">
        <v>0.37988760014348916</v>
      </c>
      <c r="D41" s="1">
        <v>0.6928416645241855</v>
      </c>
      <c r="E41" s="1">
        <v>0.62011239985651079</v>
      </c>
      <c r="F41" s="1">
        <v>0.9527867059506272</v>
      </c>
    </row>
    <row r="42" spans="1:6">
      <c r="A42" s="4" t="s">
        <v>13</v>
      </c>
      <c r="B42" s="5">
        <v>0.223674151246231</v>
      </c>
      <c r="C42" s="5">
        <v>0.4454418324856837</v>
      </c>
      <c r="D42" s="1">
        <v>0.77632584875376898</v>
      </c>
      <c r="E42" s="1">
        <v>0.5545581675143163</v>
      </c>
      <c r="F42" s="1">
        <v>0.93735938838237132</v>
      </c>
    </row>
    <row r="43" spans="1:6">
      <c r="A43" s="4" t="s">
        <v>14</v>
      </c>
      <c r="B43" s="5">
        <v>0.22721245070645629</v>
      </c>
      <c r="C43" s="5">
        <v>0.47141988769442</v>
      </c>
      <c r="D43" s="1">
        <v>0.77278754929354376</v>
      </c>
      <c r="E43" s="1">
        <v>0.52858011230558</v>
      </c>
      <c r="F43" s="1">
        <v>0.93156469964805633</v>
      </c>
    </row>
    <row r="44" spans="1:6">
      <c r="A44" s="4" t="s">
        <v>15</v>
      </c>
      <c r="B44" s="5">
        <v>0.159028895754351</v>
      </c>
      <c r="C44" s="5">
        <v>0.48207633395316585</v>
      </c>
      <c r="D44" s="1">
        <v>0.84097110424564903</v>
      </c>
      <c r="E44" s="1">
        <v>0.51792366604683415</v>
      </c>
      <c r="F44" s="1">
        <v>0.94088976459608009</v>
      </c>
    </row>
    <row r="45" spans="1:6">
      <c r="A45" s="4" t="s">
        <v>16</v>
      </c>
      <c r="B45" s="5">
        <v>0.13787634201962742</v>
      </c>
      <c r="C45" s="5">
        <v>0.47125016261220243</v>
      </c>
      <c r="D45" s="1">
        <v>0.8621236579803726</v>
      </c>
      <c r="E45" s="1">
        <v>0.52874983738779757</v>
      </c>
      <c r="F45" s="1">
        <v>0.95059605719533613</v>
      </c>
    </row>
    <row r="46" spans="1:6">
      <c r="A46" s="4" t="s">
        <v>17</v>
      </c>
      <c r="B46" s="5">
        <v>0.13295391876986959</v>
      </c>
      <c r="C46" s="5">
        <v>0.44205871139916125</v>
      </c>
      <c r="D46" s="1">
        <v>0.86704608123013038</v>
      </c>
      <c r="E46" s="1">
        <v>0.55794128860083869</v>
      </c>
      <c r="F46" s="1">
        <v>0.96239836685444102</v>
      </c>
    </row>
    <row r="47" spans="1:6">
      <c r="A47" s="4" t="s">
        <v>18</v>
      </c>
      <c r="B47" s="5">
        <v>0.14331619537275064</v>
      </c>
      <c r="C47" s="5">
        <v>0.44687627395026497</v>
      </c>
      <c r="D47" s="1">
        <v>0.85668380462724936</v>
      </c>
      <c r="E47" s="1">
        <v>0.55312372604973503</v>
      </c>
      <c r="F47" s="1">
        <v>0.96789112050739956</v>
      </c>
    </row>
    <row r="48" spans="1:6">
      <c r="A48" s="4" t="s">
        <v>19</v>
      </c>
      <c r="B48" s="5">
        <v>0.15410803570952131</v>
      </c>
      <c r="C48" s="5">
        <v>0.42714681440443214</v>
      </c>
      <c r="D48" s="1">
        <v>0.84589196429047875</v>
      </c>
      <c r="E48" s="1">
        <v>0.57285318559556786</v>
      </c>
      <c r="F48" s="1">
        <v>0.9712593284170552</v>
      </c>
    </row>
    <row r="49" spans="1:6">
      <c r="A49" s="4" t="s">
        <v>20</v>
      </c>
      <c r="B49" s="5">
        <v>0.12844544080903048</v>
      </c>
      <c r="C49" s="5">
        <v>0.414962325080732</v>
      </c>
      <c r="D49" s="1">
        <v>0.87155455919096947</v>
      </c>
      <c r="E49" s="1">
        <v>0.58503767491926806</v>
      </c>
      <c r="F49" s="1">
        <v>0.9728954912692207</v>
      </c>
    </row>
    <row r="50" spans="1:6">
      <c r="A50" s="4" t="s">
        <v>10</v>
      </c>
      <c r="B50" s="5">
        <v>0.97275971251947535</v>
      </c>
      <c r="C50" s="5">
        <v>0.34575045207956601</v>
      </c>
      <c r="D50" s="1">
        <v>2.7240287480524702E-2</v>
      </c>
      <c r="E50" s="1">
        <v>0.65424954792043399</v>
      </c>
      <c r="F50" s="1">
        <v>0.93173431734317347</v>
      </c>
    </row>
    <row r="51" spans="1:6">
      <c r="A51" s="4" t="s">
        <v>11</v>
      </c>
      <c r="B51" s="5">
        <v>8.4076729422066551E-2</v>
      </c>
      <c r="C51" s="5">
        <v>0.39593165174938977</v>
      </c>
      <c r="D51" s="1">
        <v>0.91592327057793343</v>
      </c>
      <c r="E51" s="1">
        <v>0.60406834825061029</v>
      </c>
      <c r="F51" s="1">
        <v>0.97102012159598461</v>
      </c>
    </row>
    <row r="52" spans="1:6">
      <c r="A52" s="3" t="s">
        <v>24</v>
      </c>
      <c r="B52" s="5">
        <v>0.29156117072077697</v>
      </c>
      <c r="C52" s="5">
        <v>0.30957832135031693</v>
      </c>
      <c r="D52" s="1">
        <v>0.70843882927922308</v>
      </c>
      <c r="E52" s="1">
        <v>0.69042167864968296</v>
      </c>
      <c r="F52" s="1">
        <v>0.9611410112783324</v>
      </c>
    </row>
    <row r="53" spans="1:6">
      <c r="A53" s="4" t="s">
        <v>12</v>
      </c>
      <c r="B53" s="5">
        <v>0.46576526232709803</v>
      </c>
      <c r="C53" s="5">
        <v>0.26638877894320206</v>
      </c>
      <c r="D53" s="1">
        <v>0.53423473767290197</v>
      </c>
      <c r="E53" s="1">
        <v>0.73361122105679799</v>
      </c>
      <c r="F53" s="1">
        <v>0.95176474394228594</v>
      </c>
    </row>
    <row r="54" spans="1:6">
      <c r="A54" s="4" t="s">
        <v>13</v>
      </c>
      <c r="B54" s="5">
        <v>0.30404199581976626</v>
      </c>
      <c r="C54" s="5">
        <v>0.32942860970626653</v>
      </c>
      <c r="D54" s="1">
        <v>0.69595800418023379</v>
      </c>
      <c r="E54" s="1">
        <v>0.67057139029373347</v>
      </c>
      <c r="F54" s="1">
        <v>0.94960731308505231</v>
      </c>
    </row>
    <row r="55" spans="1:6">
      <c r="A55" s="4" t="s">
        <v>14</v>
      </c>
      <c r="B55" s="5">
        <v>0.28127464134335201</v>
      </c>
      <c r="C55" s="5">
        <v>0.32938558280356417</v>
      </c>
      <c r="D55" s="1">
        <v>0.71872535865664799</v>
      </c>
      <c r="E55" s="1">
        <v>0.67061441719643577</v>
      </c>
      <c r="F55" s="1">
        <v>0.95426557562991166</v>
      </c>
    </row>
    <row r="56" spans="1:6">
      <c r="A56" s="4" t="s">
        <v>15</v>
      </c>
      <c r="B56" s="5">
        <v>0.21512041746607147</v>
      </c>
      <c r="C56" s="5">
        <v>0.31680727511778239</v>
      </c>
      <c r="D56" s="1">
        <v>0.78487958253392853</v>
      </c>
      <c r="E56" s="1">
        <v>0.68319272488221761</v>
      </c>
      <c r="F56" s="1">
        <v>0.96152899064275499</v>
      </c>
    </row>
    <row r="57" spans="1:6">
      <c r="A57" s="4" t="s">
        <v>16</v>
      </c>
      <c r="B57" s="5">
        <v>0.18351812432689307</v>
      </c>
      <c r="C57" s="5">
        <v>0.34052463839176267</v>
      </c>
      <c r="D57" s="1">
        <v>0.81648187567310693</v>
      </c>
      <c r="E57" s="1">
        <v>0.65947536160823728</v>
      </c>
      <c r="F57" s="1">
        <v>0.96963111691227877</v>
      </c>
    </row>
    <row r="58" spans="1:6">
      <c r="A58" s="4" t="s">
        <v>17</v>
      </c>
      <c r="B58" s="5">
        <v>0.17664409733860695</v>
      </c>
      <c r="C58" s="5">
        <v>0.3215370018975332</v>
      </c>
      <c r="D58" s="1">
        <v>0.82335590266139302</v>
      </c>
      <c r="E58" s="1">
        <v>0.6784629981024668</v>
      </c>
      <c r="F58" s="1">
        <v>0.97674442273245399</v>
      </c>
    </row>
    <row r="59" spans="1:6">
      <c r="A59" s="4" t="s">
        <v>18</v>
      </c>
      <c r="B59" s="5">
        <v>0.16827539797699409</v>
      </c>
      <c r="C59" s="5">
        <v>0.32354411397150712</v>
      </c>
      <c r="D59" s="1">
        <v>0.83172460202300591</v>
      </c>
      <c r="E59" s="1">
        <v>0.67645588602849283</v>
      </c>
      <c r="F59" s="1">
        <v>0.97851718877735916</v>
      </c>
    </row>
    <row r="60" spans="1:6">
      <c r="A60" s="4" t="s">
        <v>19</v>
      </c>
      <c r="B60" s="5">
        <v>0.16735789975737719</v>
      </c>
      <c r="C60" s="5">
        <v>0.29886624124899325</v>
      </c>
      <c r="D60" s="1">
        <v>0.83264210024262286</v>
      </c>
      <c r="E60" s="1">
        <v>0.70113375875100681</v>
      </c>
      <c r="F60" s="1">
        <v>0.97915447356951624</v>
      </c>
    </row>
    <row r="61" spans="1:6">
      <c r="A61" s="4" t="s">
        <v>20</v>
      </c>
      <c r="B61" s="5">
        <v>0.14544746903546327</v>
      </c>
      <c r="C61" s="5">
        <v>0.32236738548717142</v>
      </c>
      <c r="D61" s="1">
        <v>0.85455253096453676</v>
      </c>
      <c r="E61" s="1">
        <v>0.67763261451282863</v>
      </c>
      <c r="F61" s="1">
        <v>0.9787011734447838</v>
      </c>
    </row>
    <row r="62" spans="1:6">
      <c r="A62" s="4" t="s">
        <v>10</v>
      </c>
      <c r="B62" s="5">
        <v>0.99118329466357313</v>
      </c>
      <c r="C62" s="5">
        <v>0.26217228464419473</v>
      </c>
      <c r="D62" s="1">
        <v>8.8167053364269134E-3</v>
      </c>
      <c r="E62" s="1">
        <v>0.73782771535580527</v>
      </c>
      <c r="F62" s="1">
        <v>0.89473684210526316</v>
      </c>
    </row>
    <row r="63" spans="1:6">
      <c r="A63" s="4" t="s">
        <v>11</v>
      </c>
      <c r="B63" s="5">
        <v>0.10854427787335136</v>
      </c>
      <c r="C63" s="5">
        <v>0.29433962264150942</v>
      </c>
      <c r="D63" s="1">
        <v>0.8914557221266487</v>
      </c>
      <c r="E63" s="1">
        <v>0.70566037735849052</v>
      </c>
      <c r="F63" s="1">
        <v>0.97789928321999631</v>
      </c>
    </row>
    <row r="64" spans="1:6">
      <c r="A64" s="3" t="s">
        <v>25</v>
      </c>
      <c r="B64" s="5">
        <v>0.20057732584320948</v>
      </c>
      <c r="C64" s="5">
        <v>0.45404468272121784</v>
      </c>
      <c r="D64" s="1">
        <v>0.79942267415679069</v>
      </c>
      <c r="E64" s="1">
        <v>0.54595531727878222</v>
      </c>
      <c r="F64" s="1">
        <v>0.97270232945782287</v>
      </c>
    </row>
    <row r="65" spans="1:6">
      <c r="A65" s="4" t="s">
        <v>12</v>
      </c>
      <c r="B65" s="5">
        <v>0.27898646272855132</v>
      </c>
      <c r="C65" s="5">
        <v>0.2974399369830642</v>
      </c>
      <c r="D65" s="1">
        <v>0.72101353727144868</v>
      </c>
      <c r="E65" s="1">
        <v>0.70256006301693585</v>
      </c>
      <c r="F65" s="1">
        <v>0.9825657593952879</v>
      </c>
    </row>
    <row r="66" spans="1:6">
      <c r="A66" s="4" t="s">
        <v>13</v>
      </c>
      <c r="B66" s="5">
        <v>0.15659162275799671</v>
      </c>
      <c r="C66" s="5">
        <v>0.42029773638773704</v>
      </c>
      <c r="D66" s="1">
        <v>0.84340837724200335</v>
      </c>
      <c r="E66" s="1">
        <v>0.57970226361226296</v>
      </c>
      <c r="F66" s="1">
        <v>0.97781255521619503</v>
      </c>
    </row>
    <row r="67" spans="1:6">
      <c r="A67" s="4" t="s">
        <v>14</v>
      </c>
      <c r="B67" s="5">
        <v>0.1472186542831736</v>
      </c>
      <c r="C67" s="5">
        <v>0.48632550335570468</v>
      </c>
      <c r="D67" s="1">
        <v>0.8527813457168264</v>
      </c>
      <c r="E67" s="1">
        <v>0.51367449664429532</v>
      </c>
      <c r="F67" s="1">
        <v>0.97100567721005682</v>
      </c>
    </row>
    <row r="68" spans="1:6">
      <c r="A68" s="4" t="s">
        <v>15</v>
      </c>
      <c r="B68" s="5">
        <v>9.3394164781658545E-2</v>
      </c>
      <c r="C68" s="5">
        <v>0.54036672140120412</v>
      </c>
      <c r="D68" s="1">
        <v>0.90660583521834148</v>
      </c>
      <c r="E68" s="1">
        <v>0.45963327859879582</v>
      </c>
      <c r="F68" s="1">
        <v>0.97224454123849391</v>
      </c>
    </row>
    <row r="69" spans="1:6">
      <c r="A69" s="4" t="s">
        <v>16</v>
      </c>
      <c r="B69" s="5">
        <v>7.5328265376641321E-2</v>
      </c>
      <c r="C69" s="5">
        <v>0.55173885214422869</v>
      </c>
      <c r="D69" s="1">
        <v>0.92467173462335872</v>
      </c>
      <c r="E69" s="1">
        <v>0.44826114785577126</v>
      </c>
      <c r="F69" s="1">
        <v>0.97757847533632292</v>
      </c>
    </row>
    <row r="70" spans="1:6">
      <c r="A70" s="4" t="s">
        <v>17</v>
      </c>
      <c r="B70" s="5">
        <v>7.6491979675201757E-2</v>
      </c>
      <c r="C70" s="5">
        <v>0.52556170628459786</v>
      </c>
      <c r="D70" s="1">
        <v>0.92350802032479828</v>
      </c>
      <c r="E70" s="1">
        <v>0.47443829371540214</v>
      </c>
      <c r="F70" s="1">
        <v>0.97804568870189068</v>
      </c>
    </row>
    <row r="71" spans="1:6">
      <c r="A71" s="4" t="s">
        <v>18</v>
      </c>
      <c r="B71" s="5">
        <v>8.7401369981791377E-2</v>
      </c>
      <c r="C71" s="5">
        <v>0.55853174603174605</v>
      </c>
      <c r="D71" s="1">
        <v>0.91259863001820862</v>
      </c>
      <c r="E71" s="1">
        <v>0.44146825396825395</v>
      </c>
      <c r="F71" s="1">
        <v>0.97824228028503568</v>
      </c>
    </row>
    <row r="72" spans="1:6">
      <c r="A72" s="4" t="s">
        <v>19</v>
      </c>
      <c r="B72" s="5">
        <v>0.10802469135802469</v>
      </c>
      <c r="C72" s="5">
        <v>0.52186588921282795</v>
      </c>
      <c r="D72" s="1">
        <v>0.89197530864197527</v>
      </c>
      <c r="E72" s="1">
        <v>0.478134110787172</v>
      </c>
      <c r="F72" s="1">
        <v>0.98171033119130002</v>
      </c>
    </row>
    <row r="73" spans="1:6">
      <c r="A73" s="4" t="s">
        <v>20</v>
      </c>
      <c r="B73" s="5">
        <v>0.10610340169470711</v>
      </c>
      <c r="C73" s="5">
        <v>0.46527777777777779</v>
      </c>
      <c r="D73" s="1">
        <v>0.89389659830529289</v>
      </c>
      <c r="E73" s="1">
        <v>0.53472222222222221</v>
      </c>
      <c r="F73" s="1">
        <v>0.97664514356367638</v>
      </c>
    </row>
    <row r="74" spans="1:6">
      <c r="A74" s="4" t="s">
        <v>10</v>
      </c>
      <c r="B74" s="5">
        <v>0.97546897546897549</v>
      </c>
      <c r="C74" s="5">
        <v>0.24901380670611439</v>
      </c>
      <c r="D74" s="1">
        <v>2.4531024531024532E-2</v>
      </c>
      <c r="E74" s="1">
        <v>0.75098619329388561</v>
      </c>
      <c r="F74" s="1">
        <v>0.92156862745098034</v>
      </c>
    </row>
    <row r="75" spans="1:6">
      <c r="A75" s="4" t="s">
        <v>11</v>
      </c>
      <c r="B75" s="5">
        <v>0.10134099616858237</v>
      </c>
      <c r="C75" s="5">
        <v>0.3780718336483932</v>
      </c>
      <c r="D75" s="1">
        <v>0.89865900383141761</v>
      </c>
      <c r="E75" s="1">
        <v>0.62192816635160686</v>
      </c>
      <c r="F75" s="1">
        <v>0.98230654444681309</v>
      </c>
    </row>
    <row r="76" spans="1:6">
      <c r="A76" s="3" t="s">
        <v>26</v>
      </c>
      <c r="B76" s="5">
        <v>0.2395553014931118</v>
      </c>
      <c r="C76" s="5">
        <v>0.40424668043103656</v>
      </c>
      <c r="D76" s="1">
        <v>0.76044469850688823</v>
      </c>
      <c r="E76" s="1">
        <v>0.59575331956896338</v>
      </c>
      <c r="F76" s="1">
        <v>0.96007828279852836</v>
      </c>
    </row>
    <row r="77" spans="1:6">
      <c r="A77" s="4" t="s">
        <v>12</v>
      </c>
      <c r="B77" s="5">
        <v>0.42035591005060491</v>
      </c>
      <c r="C77" s="5">
        <v>0.33253607589890777</v>
      </c>
      <c r="D77" s="1">
        <v>0.57964408994939509</v>
      </c>
      <c r="E77" s="1">
        <v>0.66746392410109223</v>
      </c>
      <c r="F77" s="1">
        <v>0.96791165587419059</v>
      </c>
    </row>
    <row r="78" spans="1:6">
      <c r="A78" s="4" t="s">
        <v>13</v>
      </c>
      <c r="B78" s="5">
        <v>0.25795815598585214</v>
      </c>
      <c r="C78" s="5">
        <v>0.44166860330002322</v>
      </c>
      <c r="D78" s="1">
        <v>0.74204184401414786</v>
      </c>
      <c r="E78" s="1">
        <v>0.55833139669997678</v>
      </c>
      <c r="F78" s="1">
        <v>0.96352399418322832</v>
      </c>
    </row>
    <row r="79" spans="1:6">
      <c r="A79" s="4" t="s">
        <v>14</v>
      </c>
      <c r="B79" s="5">
        <v>0.22502077510009821</v>
      </c>
      <c r="C79" s="5">
        <v>0.4381924394010609</v>
      </c>
      <c r="D79" s="1">
        <v>0.77497922489990179</v>
      </c>
      <c r="E79" s="1">
        <v>0.5618075605989391</v>
      </c>
      <c r="F79" s="1">
        <v>0.9593893784605787</v>
      </c>
    </row>
    <row r="80" spans="1:6">
      <c r="A80" s="4" t="s">
        <v>15</v>
      </c>
      <c r="B80" s="5">
        <v>0.1599614443538222</v>
      </c>
      <c r="C80" s="5">
        <v>0.43014739964772414</v>
      </c>
      <c r="D80" s="1">
        <v>0.8400385556461778</v>
      </c>
      <c r="E80" s="1">
        <v>0.56985260035227592</v>
      </c>
      <c r="F80" s="1">
        <v>0.96668902697359127</v>
      </c>
    </row>
    <row r="81" spans="1:6">
      <c r="A81" s="4" t="s">
        <v>16</v>
      </c>
      <c r="B81" s="5">
        <v>0.13623832814584261</v>
      </c>
      <c r="C81" s="5">
        <v>0.41305483028720624</v>
      </c>
      <c r="D81" s="1">
        <v>0.86376167185415742</v>
      </c>
      <c r="E81" s="1">
        <v>0.58694516971279376</v>
      </c>
      <c r="F81" s="1">
        <v>0.9679604653557089</v>
      </c>
    </row>
    <row r="82" spans="1:6">
      <c r="A82" s="4" t="s">
        <v>17</v>
      </c>
      <c r="B82" s="5">
        <v>0.11470718831713454</v>
      </c>
      <c r="C82" s="5">
        <v>0.40021505376344085</v>
      </c>
      <c r="D82" s="1">
        <v>0.88529281168286544</v>
      </c>
      <c r="E82" s="1">
        <v>0.59978494623655909</v>
      </c>
      <c r="F82" s="1">
        <v>0.97216339723584488</v>
      </c>
    </row>
    <row r="83" spans="1:6">
      <c r="A83" s="4" t="s">
        <v>18</v>
      </c>
      <c r="B83" s="5">
        <v>0.11429496519345961</v>
      </c>
      <c r="C83" s="5">
        <v>0.42599150141643061</v>
      </c>
      <c r="D83" s="1">
        <v>0.88570503480654039</v>
      </c>
      <c r="E83" s="1">
        <v>0.57400849858356939</v>
      </c>
      <c r="F83" s="1">
        <v>0.9729025772253701</v>
      </c>
    </row>
    <row r="84" spans="1:6">
      <c r="A84" s="4" t="s">
        <v>19</v>
      </c>
      <c r="B84" s="5">
        <v>0.10269949889541462</v>
      </c>
      <c r="C84" s="5">
        <v>0.4422875131164743</v>
      </c>
      <c r="D84" s="1">
        <v>0.89730050110458537</v>
      </c>
      <c r="E84" s="1">
        <v>0.5577124868835257</v>
      </c>
      <c r="F84" s="1">
        <v>0.97381853119558037</v>
      </c>
    </row>
    <row r="85" spans="1:6">
      <c r="A85" s="4" t="s">
        <v>20</v>
      </c>
      <c r="B85" s="5">
        <v>8.6262844780962689E-2</v>
      </c>
      <c r="C85" s="5">
        <v>0.42110762800417972</v>
      </c>
      <c r="D85" s="1">
        <v>0.91373715521903731</v>
      </c>
      <c r="E85" s="1">
        <v>0.57889237199582022</v>
      </c>
      <c r="F85" s="1">
        <v>0.97474598007299995</v>
      </c>
    </row>
    <row r="86" spans="1:6">
      <c r="A86" s="4" t="s">
        <v>10</v>
      </c>
      <c r="B86" s="5">
        <v>0.95896757114493714</v>
      </c>
      <c r="C86" s="5">
        <v>0.32298136645962733</v>
      </c>
      <c r="D86" s="1">
        <v>4.103242885506287E-2</v>
      </c>
      <c r="E86" s="1">
        <v>0.67701863354037262</v>
      </c>
      <c r="F86" s="1">
        <v>0.87096774193548387</v>
      </c>
    </row>
    <row r="87" spans="1:6">
      <c r="A87" s="4" t="s">
        <v>11</v>
      </c>
      <c r="B87" s="5">
        <v>5.8641634456101599E-2</v>
      </c>
      <c r="C87" s="5">
        <v>0.37853107344632769</v>
      </c>
      <c r="D87" s="1">
        <v>0.9413583655438984</v>
      </c>
      <c r="E87" s="1">
        <v>0.62146892655367236</v>
      </c>
      <c r="F87" s="1">
        <v>0.97078836227123422</v>
      </c>
    </row>
    <row r="88" spans="1:6">
      <c r="A88" s="3" t="s">
        <v>27</v>
      </c>
      <c r="B88" s="5">
        <v>0.22346756612791197</v>
      </c>
      <c r="C88" s="5">
        <v>0.4053713298416845</v>
      </c>
      <c r="D88" s="1">
        <v>0.77653243387208803</v>
      </c>
      <c r="E88" s="1">
        <v>0.59462867015831555</v>
      </c>
      <c r="F88" s="1">
        <v>0.98341581944862189</v>
      </c>
    </row>
    <row r="89" spans="1:6">
      <c r="A89" s="4" t="s">
        <v>12</v>
      </c>
      <c r="B89" s="5">
        <v>0.3604552403601155</v>
      </c>
      <c r="C89" s="5">
        <v>0.36145146088595664</v>
      </c>
      <c r="D89" s="1">
        <v>0.63954475963988444</v>
      </c>
      <c r="E89" s="1">
        <v>0.6385485391140433</v>
      </c>
      <c r="F89" s="1">
        <v>0.98007968127490042</v>
      </c>
    </row>
    <row r="90" spans="1:6">
      <c r="A90" s="4" t="s">
        <v>13</v>
      </c>
      <c r="B90" s="5">
        <v>0.22194863247215699</v>
      </c>
      <c r="C90" s="5">
        <v>0.47363031233998976</v>
      </c>
      <c r="D90" s="1">
        <v>0.77805136752784299</v>
      </c>
      <c r="E90" s="1">
        <v>0.52636968766001024</v>
      </c>
      <c r="F90" s="1">
        <v>0.97653245046010029</v>
      </c>
    </row>
    <row r="91" spans="1:6">
      <c r="A91" s="4" t="s">
        <v>14</v>
      </c>
      <c r="B91" s="5">
        <v>0.18933365007720632</v>
      </c>
      <c r="C91" s="5">
        <v>0.5123379339188624</v>
      </c>
      <c r="D91" s="1">
        <v>0.81066634992279363</v>
      </c>
      <c r="E91" s="1">
        <v>0.4876620660811376</v>
      </c>
      <c r="F91" s="1">
        <v>0.97289377289377288</v>
      </c>
    </row>
    <row r="92" spans="1:6">
      <c r="A92" s="4" t="s">
        <v>15</v>
      </c>
      <c r="B92" s="5">
        <v>0.14482372243787267</v>
      </c>
      <c r="C92" s="5">
        <v>0.47195357833655704</v>
      </c>
      <c r="D92" s="1">
        <v>0.85517627756212733</v>
      </c>
      <c r="E92" s="1">
        <v>0.52804642166344296</v>
      </c>
      <c r="F92" s="1">
        <v>0.97847449695835287</v>
      </c>
    </row>
    <row r="93" spans="1:6">
      <c r="A93" s="4" t="s">
        <v>16</v>
      </c>
      <c r="B93" s="5">
        <v>0.1331878787878788</v>
      </c>
      <c r="C93" s="5">
        <v>0.42992355296687296</v>
      </c>
      <c r="D93" s="1">
        <v>0.86681212121212126</v>
      </c>
      <c r="E93" s="1">
        <v>0.5700764470331271</v>
      </c>
      <c r="F93" s="1">
        <v>0.98087034343886337</v>
      </c>
    </row>
    <row r="94" spans="1:6">
      <c r="A94" s="4" t="s">
        <v>17</v>
      </c>
      <c r="B94" s="5">
        <v>0.11329503771887328</v>
      </c>
      <c r="C94" s="5">
        <v>0.37446548564447157</v>
      </c>
      <c r="D94" s="1">
        <v>0.88670496228112672</v>
      </c>
      <c r="E94" s="1">
        <v>0.62553451435552843</v>
      </c>
      <c r="F94" s="1">
        <v>0.98446768654386507</v>
      </c>
    </row>
    <row r="95" spans="1:6">
      <c r="A95" s="4" t="s">
        <v>18</v>
      </c>
      <c r="B95" s="5">
        <v>9.7888455359192106E-2</v>
      </c>
      <c r="C95" s="5">
        <v>0.41617819460726846</v>
      </c>
      <c r="D95" s="1">
        <v>0.90211154464080789</v>
      </c>
      <c r="E95" s="1">
        <v>0.58382180539273154</v>
      </c>
      <c r="F95" s="1">
        <v>0.98409871517618619</v>
      </c>
    </row>
    <row r="96" spans="1:6">
      <c r="A96" s="4" t="s">
        <v>19</v>
      </c>
      <c r="B96" s="5">
        <v>0.10618826263800116</v>
      </c>
      <c r="C96" s="5">
        <v>0.37209302325581395</v>
      </c>
      <c r="D96" s="1">
        <v>0.89381173736199881</v>
      </c>
      <c r="E96" s="1">
        <v>0.62790697674418605</v>
      </c>
      <c r="F96" s="1">
        <v>0.98488542174548999</v>
      </c>
    </row>
    <row r="97" spans="1:6">
      <c r="A97" s="4" t="s">
        <v>20</v>
      </c>
      <c r="B97" s="5">
        <v>8.6224754013464522E-2</v>
      </c>
      <c r="C97" s="5">
        <v>0.33933933933933935</v>
      </c>
      <c r="D97" s="1">
        <v>0.91377524598653548</v>
      </c>
      <c r="E97" s="1">
        <v>0.66066066066066065</v>
      </c>
      <c r="F97" s="1">
        <v>0.98696514593369222</v>
      </c>
    </row>
    <row r="98" spans="1:6">
      <c r="A98" s="4" t="s">
        <v>10</v>
      </c>
      <c r="B98" s="5">
        <v>0.95429616087751368</v>
      </c>
      <c r="C98" s="5">
        <v>0.28927203065134099</v>
      </c>
      <c r="D98" s="1">
        <v>4.5703839122486288E-2</v>
      </c>
      <c r="E98" s="1">
        <v>0.71072796934865901</v>
      </c>
      <c r="F98" s="1">
        <v>1</v>
      </c>
    </row>
    <row r="99" spans="1:6">
      <c r="A99" s="4" t="s">
        <v>11</v>
      </c>
      <c r="B99" s="5">
        <v>5.050143266475645E-2</v>
      </c>
      <c r="C99" s="5">
        <v>0.41843971631205673</v>
      </c>
      <c r="D99" s="1">
        <v>0.94949856733524352</v>
      </c>
      <c r="E99" s="1">
        <v>0.58156028368794321</v>
      </c>
      <c r="F99" s="1">
        <v>0.98830629950961901</v>
      </c>
    </row>
    <row r="100" spans="1:6">
      <c r="A100" s="3" t="s">
        <v>28</v>
      </c>
      <c r="B100" s="5">
        <v>0.18240137495373795</v>
      </c>
      <c r="C100" s="5">
        <v>0.4762656171591283</v>
      </c>
      <c r="D100" s="1">
        <v>0.81759862504626213</v>
      </c>
      <c r="E100" s="1">
        <v>0.5237343828408717</v>
      </c>
      <c r="F100" s="1">
        <v>0.97416002895922349</v>
      </c>
    </row>
    <row r="101" spans="1:6">
      <c r="A101" s="4" t="s">
        <v>12</v>
      </c>
      <c r="B101" s="5">
        <v>0.3201289728235836</v>
      </c>
      <c r="C101" s="5">
        <v>0.36762589928057554</v>
      </c>
      <c r="D101" s="1">
        <v>0.67987102717641634</v>
      </c>
      <c r="E101" s="1">
        <v>0.63237410071942446</v>
      </c>
      <c r="F101" s="1">
        <v>0.97944896115627822</v>
      </c>
    </row>
    <row r="102" spans="1:6">
      <c r="A102" s="4" t="s">
        <v>13</v>
      </c>
      <c r="B102" s="5">
        <v>0.17197190229084927</v>
      </c>
      <c r="C102" s="5">
        <v>0.48960441582336706</v>
      </c>
      <c r="D102" s="1">
        <v>0.82802809770915076</v>
      </c>
      <c r="E102" s="1">
        <v>0.51039558417663289</v>
      </c>
      <c r="F102" s="1">
        <v>0.97607856624250067</v>
      </c>
    </row>
    <row r="103" spans="1:6">
      <c r="A103" s="4" t="s">
        <v>14</v>
      </c>
      <c r="B103" s="5">
        <v>0.15835825309717064</v>
      </c>
      <c r="C103" s="5">
        <v>0.52479767586636228</v>
      </c>
      <c r="D103" s="1">
        <v>0.84164174690282934</v>
      </c>
      <c r="E103" s="1">
        <v>0.47520232413363767</v>
      </c>
      <c r="F103" s="1">
        <v>0.9704825862876777</v>
      </c>
    </row>
    <row r="104" spans="1:6">
      <c r="A104" s="4" t="s">
        <v>15</v>
      </c>
      <c r="B104" s="5">
        <v>0.1057263223591824</v>
      </c>
      <c r="C104" s="5">
        <v>0.53099173553719003</v>
      </c>
      <c r="D104" s="1">
        <v>0.89427367764081755</v>
      </c>
      <c r="E104" s="1">
        <v>0.46900826446280991</v>
      </c>
      <c r="F104" s="1">
        <v>0.97239766898140068</v>
      </c>
    </row>
    <row r="105" spans="1:6">
      <c r="A105" s="4" t="s">
        <v>16</v>
      </c>
      <c r="B105" s="5">
        <v>9.3607906504828836E-2</v>
      </c>
      <c r="C105" s="5">
        <v>0.56764351665997592</v>
      </c>
      <c r="D105" s="1">
        <v>0.90639209349517114</v>
      </c>
      <c r="E105" s="1">
        <v>0.43235648334002408</v>
      </c>
      <c r="F105" s="1">
        <v>0.9761194029850746</v>
      </c>
    </row>
    <row r="106" spans="1:6">
      <c r="A106" s="4" t="s">
        <v>17</v>
      </c>
      <c r="B106" s="5">
        <v>6.8703091376686093E-2</v>
      </c>
      <c r="C106" s="5">
        <v>0.49656226126814362</v>
      </c>
      <c r="D106" s="1">
        <v>0.93129690862331393</v>
      </c>
      <c r="E106" s="1">
        <v>0.50343773873185638</v>
      </c>
      <c r="F106" s="1">
        <v>0.98010595130748424</v>
      </c>
    </row>
    <row r="107" spans="1:6">
      <c r="A107" s="4" t="s">
        <v>18</v>
      </c>
      <c r="B107" s="5">
        <v>6.3988232049278296E-2</v>
      </c>
      <c r="C107" s="5">
        <v>0.51724137931034486</v>
      </c>
      <c r="D107" s="1">
        <v>0.93601176795072172</v>
      </c>
      <c r="E107" s="1">
        <v>0.48275862068965519</v>
      </c>
      <c r="F107" s="1">
        <v>0.98232000785777429</v>
      </c>
    </row>
    <row r="108" spans="1:6">
      <c r="A108" s="4" t="s">
        <v>19</v>
      </c>
      <c r="B108" s="5">
        <v>7.2567482736974262E-2</v>
      </c>
      <c r="C108" s="5">
        <v>0.48269896193771628</v>
      </c>
      <c r="D108" s="1">
        <v>0.92743251726302578</v>
      </c>
      <c r="E108" s="1">
        <v>0.51730103806228378</v>
      </c>
      <c r="F108" s="1">
        <v>0.98186002436713149</v>
      </c>
    </row>
    <row r="109" spans="1:6">
      <c r="A109" s="4" t="s">
        <v>20</v>
      </c>
      <c r="B109" s="5">
        <v>5.1942740286298569E-2</v>
      </c>
      <c r="C109" s="5">
        <v>0.48425196850393698</v>
      </c>
      <c r="D109" s="1">
        <v>0.94805725971370147</v>
      </c>
      <c r="E109" s="1">
        <v>0.51574803149606296</v>
      </c>
      <c r="F109" s="1">
        <v>0.98511647972389993</v>
      </c>
    </row>
    <row r="110" spans="1:6">
      <c r="A110" s="4" t="s">
        <v>10</v>
      </c>
      <c r="B110" s="5">
        <v>0.86878453038674031</v>
      </c>
      <c r="C110" s="5">
        <v>0.32750397456279812</v>
      </c>
      <c r="D110" s="1">
        <v>0.13121546961325967</v>
      </c>
      <c r="E110" s="1">
        <v>0.67249602543720188</v>
      </c>
      <c r="F110" s="1">
        <v>0.9263157894736842</v>
      </c>
    </row>
    <row r="111" spans="1:6">
      <c r="A111" s="4" t="s">
        <v>11</v>
      </c>
      <c r="B111" s="5">
        <v>3.0635690579525147E-2</v>
      </c>
      <c r="C111" s="5">
        <v>0.45</v>
      </c>
      <c r="D111" s="1">
        <v>0.9693643094204748</v>
      </c>
      <c r="E111" s="1">
        <v>0.55000000000000004</v>
      </c>
      <c r="F111" s="1">
        <v>0.98551488016855415</v>
      </c>
    </row>
    <row r="112" spans="1:6">
      <c r="A112" s="3" t="s">
        <v>29</v>
      </c>
      <c r="B112" s="5">
        <v>0.17390142075593568</v>
      </c>
      <c r="C112" s="5">
        <v>0.49715130224672799</v>
      </c>
      <c r="D112" s="1">
        <v>0.82609857924406438</v>
      </c>
      <c r="E112" s="1">
        <v>0.50284869775327201</v>
      </c>
      <c r="F112" s="1">
        <v>0.96255820387113744</v>
      </c>
    </row>
    <row r="113" spans="1:6">
      <c r="A113" s="4" t="s">
        <v>12</v>
      </c>
      <c r="B113" s="5">
        <v>0.21931472245611763</v>
      </c>
      <c r="C113" s="5">
        <v>0.33431777909037214</v>
      </c>
      <c r="D113" s="1">
        <v>0.78068527754388239</v>
      </c>
      <c r="E113" s="1">
        <v>0.66568222090962792</v>
      </c>
      <c r="F113" s="1">
        <v>0.97262092425122371</v>
      </c>
    </row>
    <row r="114" spans="1:6">
      <c r="A114" s="4" t="s">
        <v>13</v>
      </c>
      <c r="B114" s="5">
        <v>0.15737407256675953</v>
      </c>
      <c r="C114" s="5">
        <v>0.49691665008951663</v>
      </c>
      <c r="D114" s="1">
        <v>0.8426259274332405</v>
      </c>
      <c r="E114" s="1">
        <v>0.50308334991048342</v>
      </c>
      <c r="F114" s="1">
        <v>0.97403031654034777</v>
      </c>
    </row>
    <row r="115" spans="1:6">
      <c r="A115" s="4" t="s">
        <v>14</v>
      </c>
      <c r="B115" s="5">
        <v>0.13454029108981186</v>
      </c>
      <c r="C115" s="5">
        <v>0.52559366754617409</v>
      </c>
      <c r="D115" s="1">
        <v>0.8654597089101882</v>
      </c>
      <c r="E115" s="1">
        <v>0.47440633245382585</v>
      </c>
      <c r="F115" s="1">
        <v>0.97030352748154225</v>
      </c>
    </row>
    <row r="116" spans="1:6">
      <c r="A116" s="4" t="s">
        <v>15</v>
      </c>
      <c r="B116" s="5">
        <v>7.7451116350020804E-2</v>
      </c>
      <c r="C116" s="5">
        <v>0.53670546105640105</v>
      </c>
      <c r="D116" s="1">
        <v>0.92254888364997922</v>
      </c>
      <c r="E116" s="1">
        <v>0.4632945389435989</v>
      </c>
      <c r="F116" s="1">
        <v>0.9747839158211199</v>
      </c>
    </row>
    <row r="117" spans="1:6">
      <c r="A117" s="4" t="s">
        <v>16</v>
      </c>
      <c r="B117" s="5">
        <v>6.2425902456972326E-2</v>
      </c>
      <c r="C117" s="5">
        <v>0.5769482645710543</v>
      </c>
      <c r="D117" s="1">
        <v>0.93757409754302767</v>
      </c>
      <c r="E117" s="1">
        <v>0.42305173542894564</v>
      </c>
      <c r="F117" s="1">
        <v>0.978852358943054</v>
      </c>
    </row>
    <row r="118" spans="1:6">
      <c r="A118" s="4" t="s">
        <v>17</v>
      </c>
      <c r="B118" s="5">
        <v>5.2602402217431475E-2</v>
      </c>
      <c r="C118" s="5">
        <v>0.56440281030444961</v>
      </c>
      <c r="D118" s="1">
        <v>0.94739759778256849</v>
      </c>
      <c r="E118" s="1">
        <v>0.43559718969555034</v>
      </c>
      <c r="F118" s="1">
        <v>0.9785449580651453</v>
      </c>
    </row>
    <row r="119" spans="1:6">
      <c r="A119" s="4" t="s">
        <v>18</v>
      </c>
      <c r="B119" s="5">
        <v>6.0345730749083289E-2</v>
      </c>
      <c r="C119" s="5">
        <v>0.58506944444444442</v>
      </c>
      <c r="D119" s="1">
        <v>0.93965426925091666</v>
      </c>
      <c r="E119" s="1">
        <v>0.41493055555555558</v>
      </c>
      <c r="F119" s="1">
        <v>0.9802653584569071</v>
      </c>
    </row>
    <row r="120" spans="1:6">
      <c r="A120" s="4" t="s">
        <v>19</v>
      </c>
      <c r="B120" s="5">
        <v>6.6946778711484592E-2</v>
      </c>
      <c r="C120" s="5">
        <v>0.54184100418410042</v>
      </c>
      <c r="D120" s="1">
        <v>0.93305322128851542</v>
      </c>
      <c r="E120" s="1">
        <v>0.45815899581589958</v>
      </c>
      <c r="F120" s="1">
        <v>0.98033623536475534</v>
      </c>
    </row>
    <row r="121" spans="1:6">
      <c r="A121" s="4" t="s">
        <v>20</v>
      </c>
      <c r="B121" s="5">
        <v>6.6089108910891092E-2</v>
      </c>
      <c r="C121" s="5">
        <v>0.49063670411985016</v>
      </c>
      <c r="D121" s="1">
        <v>0.93391089108910896</v>
      </c>
      <c r="E121" s="1">
        <v>0.50936329588014984</v>
      </c>
      <c r="F121" s="1">
        <v>0.97879671349059105</v>
      </c>
    </row>
    <row r="122" spans="1:6">
      <c r="A122" s="4" t="s">
        <v>10</v>
      </c>
      <c r="B122" s="5">
        <v>0.97705544933078392</v>
      </c>
      <c r="C122" s="5">
        <v>0.32485322896281799</v>
      </c>
      <c r="D122" s="1">
        <v>2.2944550669216062E-2</v>
      </c>
      <c r="E122" s="1">
        <v>0.67514677103718201</v>
      </c>
      <c r="F122" s="1">
        <v>0.83333333333333337</v>
      </c>
    </row>
    <row r="123" spans="1:6">
      <c r="A123" s="4" t="s">
        <v>11</v>
      </c>
      <c r="B123" s="5">
        <v>3.8770053475935831E-2</v>
      </c>
      <c r="C123" s="5">
        <v>0.49137931034482757</v>
      </c>
      <c r="D123" s="1">
        <v>0.96122994652406413</v>
      </c>
      <c r="E123" s="1">
        <v>0.50862068965517238</v>
      </c>
      <c r="F123" s="1">
        <v>0.9662726008344924</v>
      </c>
    </row>
    <row r="124" spans="1:6">
      <c r="A124" s="3" t="s">
        <v>30</v>
      </c>
      <c r="B124" s="5">
        <v>0.21305544173044461</v>
      </c>
      <c r="C124" s="5">
        <v>0.41091973236449825</v>
      </c>
      <c r="D124" s="1">
        <v>0.78694455826955545</v>
      </c>
      <c r="E124" s="1">
        <v>0.58908026763550181</v>
      </c>
      <c r="F124" s="1">
        <v>0.9577058516163135</v>
      </c>
    </row>
    <row r="125" spans="1:6">
      <c r="A125" s="4" t="s">
        <v>12</v>
      </c>
      <c r="B125" s="5">
        <v>0.37704005934718099</v>
      </c>
      <c r="C125" s="5">
        <v>0.34992621741269059</v>
      </c>
      <c r="D125" s="1">
        <v>0.62295994065281901</v>
      </c>
      <c r="E125" s="1">
        <v>0.65007378258730941</v>
      </c>
      <c r="F125" s="1">
        <v>0.9291455790413814</v>
      </c>
    </row>
    <row r="126" spans="1:6">
      <c r="A126" s="4" t="s">
        <v>13</v>
      </c>
      <c r="B126" s="5">
        <v>0.19954068342607006</v>
      </c>
      <c r="C126" s="5">
        <v>0.47636335547659509</v>
      </c>
      <c r="D126" s="1">
        <v>0.80045931657392988</v>
      </c>
      <c r="E126" s="1">
        <v>0.52363664452340486</v>
      </c>
      <c r="F126" s="1">
        <v>0.92640517589971694</v>
      </c>
    </row>
    <row r="127" spans="1:6">
      <c r="A127" s="4" t="s">
        <v>14</v>
      </c>
      <c r="B127" s="5">
        <v>0.1644104134762634</v>
      </c>
      <c r="C127" s="5">
        <v>0.44364754098360654</v>
      </c>
      <c r="D127" s="1">
        <v>0.8355895865237366</v>
      </c>
      <c r="E127" s="1">
        <v>0.55635245901639341</v>
      </c>
      <c r="F127" s="1">
        <v>0.93233633897808077</v>
      </c>
    </row>
    <row r="128" spans="1:6">
      <c r="A128" s="4" t="s">
        <v>15</v>
      </c>
      <c r="B128" s="5">
        <v>0.11922683765449307</v>
      </c>
      <c r="C128" s="5">
        <v>0.46141855027279816</v>
      </c>
      <c r="D128" s="1">
        <v>0.88077316234550695</v>
      </c>
      <c r="E128" s="1">
        <v>0.5385814497272019</v>
      </c>
      <c r="F128" s="1">
        <v>0.94663079411971585</v>
      </c>
    </row>
    <row r="129" spans="1:6">
      <c r="A129" s="4" t="s">
        <v>16</v>
      </c>
      <c r="B129" s="5">
        <v>0.10188033530723679</v>
      </c>
      <c r="C129" s="5">
        <v>0.47593885638799771</v>
      </c>
      <c r="D129" s="1">
        <v>0.89811966469276316</v>
      </c>
      <c r="E129" s="1">
        <v>0.52406114361200229</v>
      </c>
      <c r="F129" s="1">
        <v>0.95675721961766536</v>
      </c>
    </row>
    <row r="130" spans="1:6">
      <c r="A130" s="4" t="s">
        <v>17</v>
      </c>
      <c r="B130" s="5">
        <v>8.4335717381881226E-2</v>
      </c>
      <c r="C130" s="5">
        <v>0.47831673626726628</v>
      </c>
      <c r="D130" s="1">
        <v>0.91566428261811872</v>
      </c>
      <c r="E130" s="1">
        <v>0.52168326373273366</v>
      </c>
      <c r="F130" s="1">
        <v>0.96875647208497295</v>
      </c>
    </row>
    <row r="131" spans="1:6">
      <c r="A131" s="4" t="s">
        <v>18</v>
      </c>
      <c r="B131" s="5">
        <v>9.0403517847904805E-2</v>
      </c>
      <c r="C131" s="5">
        <v>0.43967572722937531</v>
      </c>
      <c r="D131" s="1">
        <v>0.90959648215209521</v>
      </c>
      <c r="E131" s="1">
        <v>0.56032427277062469</v>
      </c>
      <c r="F131" s="1">
        <v>0.97251054552348448</v>
      </c>
    </row>
    <row r="132" spans="1:6">
      <c r="A132" s="4" t="s">
        <v>19</v>
      </c>
      <c r="B132" s="5">
        <v>0.1124392336288247</v>
      </c>
      <c r="C132" s="5">
        <v>0.36673448626653105</v>
      </c>
      <c r="D132" s="1">
        <v>0.88756076637117531</v>
      </c>
      <c r="E132" s="1">
        <v>0.63326551373346895</v>
      </c>
      <c r="F132" s="1">
        <v>0.97854243185772283</v>
      </c>
    </row>
    <row r="133" spans="1:6">
      <c r="A133" s="4" t="s">
        <v>20</v>
      </c>
      <c r="B133" s="5">
        <v>8.8740058601925492E-2</v>
      </c>
      <c r="C133" s="5">
        <v>0.35495283018867924</v>
      </c>
      <c r="D133" s="1">
        <v>0.91125994139807454</v>
      </c>
      <c r="E133" s="1">
        <v>0.64504716981132071</v>
      </c>
      <c r="F133" s="1">
        <v>0.98105190629306382</v>
      </c>
    </row>
    <row r="134" spans="1:6">
      <c r="A134" s="4" t="s">
        <v>10</v>
      </c>
      <c r="B134" s="5">
        <v>0.96379781420765032</v>
      </c>
      <c r="C134" s="5">
        <v>0.33734939759036142</v>
      </c>
      <c r="D134" s="1">
        <v>3.6202185792349725E-2</v>
      </c>
      <c r="E134" s="1">
        <v>0.66265060240963858</v>
      </c>
      <c r="F134" s="1">
        <v>0.96226415094339623</v>
      </c>
    </row>
    <row r="135" spans="1:6">
      <c r="A135" s="4" t="s">
        <v>11</v>
      </c>
      <c r="B135" s="5">
        <v>4.1795188155459594E-2</v>
      </c>
      <c r="C135" s="5">
        <v>0.33579335793357934</v>
      </c>
      <c r="D135" s="1">
        <v>0.95820481184454043</v>
      </c>
      <c r="E135" s="1">
        <v>0.66420664206642066</v>
      </c>
      <c r="F135" s="1">
        <v>0.98036375342024784</v>
      </c>
    </row>
    <row r="136" spans="1:6">
      <c r="A136" s="3" t="s">
        <v>31</v>
      </c>
      <c r="B136" s="5">
        <v>0.27345909240595589</v>
      </c>
      <c r="C136" s="5">
        <v>0.4324788615092699</v>
      </c>
      <c r="D136" s="1">
        <v>0.72654090759404411</v>
      </c>
      <c r="E136" s="1">
        <v>0.56752113849073027</v>
      </c>
      <c r="F136" s="1">
        <v>0.95610381411728729</v>
      </c>
    </row>
    <row r="137" spans="1:6">
      <c r="A137" s="4" t="s">
        <v>12</v>
      </c>
      <c r="B137" s="5">
        <v>0.48515708200212992</v>
      </c>
      <c r="C137" s="5">
        <v>0.3703754515937257</v>
      </c>
      <c r="D137" s="1">
        <v>0.51484291799787008</v>
      </c>
      <c r="E137" s="1">
        <v>0.62962454840627424</v>
      </c>
      <c r="F137" s="1">
        <v>0.95542627307333194</v>
      </c>
    </row>
    <row r="138" spans="1:6">
      <c r="A138" s="4" t="s">
        <v>13</v>
      </c>
      <c r="B138" s="5">
        <v>0.3131761654526688</v>
      </c>
      <c r="C138" s="5">
        <v>0.44514032995614983</v>
      </c>
      <c r="D138" s="1">
        <v>0.6868238345473312</v>
      </c>
      <c r="E138" s="1">
        <v>0.55485967004385017</v>
      </c>
      <c r="F138" s="1">
        <v>0.95474863205487193</v>
      </c>
    </row>
    <row r="139" spans="1:6">
      <c r="A139" s="4" t="s">
        <v>14</v>
      </c>
      <c r="B139" s="5">
        <v>0.27168913068616085</v>
      </c>
      <c r="C139" s="5">
        <v>0.45413777353319768</v>
      </c>
      <c r="D139" s="1">
        <v>0.72831086931383915</v>
      </c>
      <c r="E139" s="1">
        <v>0.54586222646680227</v>
      </c>
      <c r="F139" s="1">
        <v>0.95287625612329852</v>
      </c>
    </row>
    <row r="140" spans="1:6">
      <c r="A140" s="4" t="s">
        <v>15</v>
      </c>
      <c r="B140" s="5">
        <v>0.19674252163872943</v>
      </c>
      <c r="C140" s="5">
        <v>0.46575931629623463</v>
      </c>
      <c r="D140" s="1">
        <v>0.80325747836127059</v>
      </c>
      <c r="E140" s="1">
        <v>0.53424068370376532</v>
      </c>
      <c r="F140" s="1">
        <v>0.96114231732471567</v>
      </c>
    </row>
    <row r="141" spans="1:6">
      <c r="A141" s="4" t="s">
        <v>16</v>
      </c>
      <c r="B141" s="5">
        <v>0.17230262261690851</v>
      </c>
      <c r="C141" s="5">
        <v>0.46566523605150212</v>
      </c>
      <c r="D141" s="1">
        <v>0.82769737738309146</v>
      </c>
      <c r="E141" s="1">
        <v>0.53433476394849788</v>
      </c>
      <c r="F141" s="1">
        <v>0.9660846258140865</v>
      </c>
    </row>
    <row r="142" spans="1:6">
      <c r="A142" s="4" t="s">
        <v>17</v>
      </c>
      <c r="B142" s="5">
        <v>0.15090416765832476</v>
      </c>
      <c r="C142" s="5">
        <v>0.45603332837375393</v>
      </c>
      <c r="D142" s="1">
        <v>0.84909583234167518</v>
      </c>
      <c r="E142" s="1">
        <v>0.54396667162624612</v>
      </c>
      <c r="F142" s="1">
        <v>0.96965401986397726</v>
      </c>
    </row>
    <row r="143" spans="1:6">
      <c r="A143" s="4" t="s">
        <v>18</v>
      </c>
      <c r="B143" s="5">
        <v>0.1423743073486321</v>
      </c>
      <c r="C143" s="5">
        <v>0.47315333672949567</v>
      </c>
      <c r="D143" s="1">
        <v>0.8576256926513679</v>
      </c>
      <c r="E143" s="1">
        <v>0.52684666327050433</v>
      </c>
      <c r="F143" s="1">
        <v>0.96728007712734465</v>
      </c>
    </row>
    <row r="144" spans="1:6">
      <c r="A144" s="4" t="s">
        <v>19</v>
      </c>
      <c r="B144" s="5">
        <v>0.13672330188324625</v>
      </c>
      <c r="C144" s="5">
        <v>0.46614887621142348</v>
      </c>
      <c r="D144" s="1">
        <v>0.86327669811675378</v>
      </c>
      <c r="E144" s="1">
        <v>0.53385112378857658</v>
      </c>
      <c r="F144" s="1">
        <v>0.96838770778224093</v>
      </c>
    </row>
    <row r="145" spans="1:6">
      <c r="A145" s="4" t="s">
        <v>20</v>
      </c>
      <c r="B145" s="5">
        <v>0.11550415726614392</v>
      </c>
      <c r="C145" s="5">
        <v>0.41920502663570552</v>
      </c>
      <c r="D145" s="1">
        <v>0.88449584273385606</v>
      </c>
      <c r="E145" s="1">
        <v>0.58079497336429453</v>
      </c>
      <c r="F145" s="1">
        <v>0.97138881952124434</v>
      </c>
    </row>
    <row r="146" spans="1:6">
      <c r="A146" s="4" t="s">
        <v>10</v>
      </c>
      <c r="B146" s="5">
        <v>0.95165562913907287</v>
      </c>
      <c r="C146" s="5">
        <v>0.35226165622825328</v>
      </c>
      <c r="D146" s="1">
        <v>4.8344370860927154E-2</v>
      </c>
      <c r="E146" s="1">
        <v>0.64773834377174666</v>
      </c>
      <c r="F146" s="1">
        <v>0.88219178082191785</v>
      </c>
    </row>
    <row r="147" spans="1:6">
      <c r="A147" s="4" t="s">
        <v>11</v>
      </c>
      <c r="B147" s="5">
        <v>7.1820930773497466E-2</v>
      </c>
      <c r="C147" s="5">
        <v>0.38938714499252614</v>
      </c>
      <c r="D147" s="1">
        <v>0.92817906922650251</v>
      </c>
      <c r="E147" s="1">
        <v>0.61061285500747386</v>
      </c>
      <c r="F147" s="1">
        <v>0.96796144578313248</v>
      </c>
    </row>
    <row r="148" spans="1:6">
      <c r="A148" s="3" t="s">
        <v>32</v>
      </c>
      <c r="B148" s="5">
        <v>0.17613103859994619</v>
      </c>
      <c r="C148" s="5">
        <v>0.47354630616423488</v>
      </c>
      <c r="D148" s="1">
        <v>0.82386896140005383</v>
      </c>
      <c r="E148" s="1">
        <v>0.52645369383576512</v>
      </c>
      <c r="F148" s="1">
        <v>0.95533662044418155</v>
      </c>
    </row>
    <row r="149" spans="1:6">
      <c r="A149" s="4" t="s">
        <v>12</v>
      </c>
      <c r="B149" s="5">
        <v>0.24179416764744344</v>
      </c>
      <c r="C149" s="5">
        <v>0.30259599783666846</v>
      </c>
      <c r="D149" s="1">
        <v>0.75820583235255656</v>
      </c>
      <c r="E149" s="1">
        <v>0.69740400216333154</v>
      </c>
      <c r="F149" s="1">
        <v>0.97274922387030005</v>
      </c>
    </row>
    <row r="150" spans="1:6">
      <c r="A150" s="4" t="s">
        <v>13</v>
      </c>
      <c r="B150" s="5">
        <v>0.11711964135612217</v>
      </c>
      <c r="C150" s="5">
        <v>0.44816586921850082</v>
      </c>
      <c r="D150" s="1">
        <v>0.88288035864387782</v>
      </c>
      <c r="E150" s="1">
        <v>0.55183413078149923</v>
      </c>
      <c r="F150" s="1">
        <v>0.9742586127860644</v>
      </c>
    </row>
    <row r="151" spans="1:6">
      <c r="A151" s="4" t="s">
        <v>14</v>
      </c>
      <c r="B151" s="5">
        <v>0.10911522336272951</v>
      </c>
      <c r="C151" s="5">
        <v>0.52169592580324609</v>
      </c>
      <c r="D151" s="1">
        <v>0.8908847766372705</v>
      </c>
      <c r="E151" s="1">
        <v>0.47830407419675391</v>
      </c>
      <c r="F151" s="1">
        <v>0.97383260984218423</v>
      </c>
    </row>
    <row r="152" spans="1:6">
      <c r="A152" s="4" t="s">
        <v>15</v>
      </c>
      <c r="B152" s="5">
        <v>7.2021466905187834E-2</v>
      </c>
      <c r="C152" s="5">
        <v>0.5986090412319921</v>
      </c>
      <c r="D152" s="1">
        <v>0.92797853309481215</v>
      </c>
      <c r="E152" s="1">
        <v>0.40139095876800795</v>
      </c>
      <c r="F152" s="1">
        <v>0.97894899178779349</v>
      </c>
    </row>
    <row r="153" spans="1:6">
      <c r="A153" s="4" t="s">
        <v>16</v>
      </c>
      <c r="B153" s="5">
        <v>6.638622321545945E-2</v>
      </c>
      <c r="C153" s="5">
        <v>0.60924092409240926</v>
      </c>
      <c r="D153" s="1">
        <v>0.93361377678454061</v>
      </c>
      <c r="E153" s="1">
        <v>0.39075907590759074</v>
      </c>
      <c r="F153" s="1">
        <v>0.98282174035482961</v>
      </c>
    </row>
    <row r="154" spans="1:6">
      <c r="A154" s="4" t="s">
        <v>17</v>
      </c>
      <c r="B154" s="5">
        <v>6.4373365520016088E-2</v>
      </c>
      <c r="C154" s="5">
        <v>0.57395833333333335</v>
      </c>
      <c r="D154" s="1">
        <v>0.93562663447998395</v>
      </c>
      <c r="E154" s="1">
        <v>0.42604166666666665</v>
      </c>
      <c r="F154" s="1">
        <v>0.98423278148068516</v>
      </c>
    </row>
    <row r="155" spans="1:6">
      <c r="A155" s="4" t="s">
        <v>18</v>
      </c>
      <c r="B155" s="5">
        <v>7.5523311132254994E-2</v>
      </c>
      <c r="C155" s="5">
        <v>0.57007874015748028</v>
      </c>
      <c r="D155" s="1">
        <v>0.92447668886774503</v>
      </c>
      <c r="E155" s="1">
        <v>0.42992125984251967</v>
      </c>
      <c r="F155" s="1">
        <v>0.98430464428148723</v>
      </c>
    </row>
    <row r="156" spans="1:6">
      <c r="A156" s="4" t="s">
        <v>19</v>
      </c>
      <c r="B156" s="5">
        <v>0.10627763041556144</v>
      </c>
      <c r="C156" s="5">
        <v>0.50083194675540765</v>
      </c>
      <c r="D156" s="1">
        <v>0.89372236958443851</v>
      </c>
      <c r="E156" s="1">
        <v>0.49916805324459235</v>
      </c>
      <c r="F156" s="1">
        <v>0.98654531064503359</v>
      </c>
    </row>
    <row r="157" spans="1:6">
      <c r="A157" s="4" t="s">
        <v>20</v>
      </c>
      <c r="B157" s="5">
        <v>7.5439783491204324E-2</v>
      </c>
      <c r="C157" s="5">
        <v>0.45739910313901344</v>
      </c>
      <c r="D157" s="1">
        <v>0.92456021650879572</v>
      </c>
      <c r="E157" s="1">
        <v>0.54260089686098656</v>
      </c>
      <c r="F157" s="1">
        <v>0.9893889498719356</v>
      </c>
    </row>
    <row r="158" spans="1:6">
      <c r="A158" s="4" t="s">
        <v>10</v>
      </c>
      <c r="B158" s="5">
        <v>0.98050974512743627</v>
      </c>
      <c r="C158" s="5">
        <v>0.22018348623853212</v>
      </c>
      <c r="D158" s="1">
        <v>1.9490254872563718E-2</v>
      </c>
      <c r="E158" s="1">
        <v>0.77981651376146788</v>
      </c>
      <c r="F158" s="1">
        <v>0.69230769230769229</v>
      </c>
    </row>
    <row r="159" spans="1:6">
      <c r="A159" s="4" t="s">
        <v>11</v>
      </c>
      <c r="B159" s="5">
        <v>2.8880866425992781E-2</v>
      </c>
      <c r="C159" s="5">
        <v>0.40625</v>
      </c>
      <c r="D159" s="1">
        <v>0.97111913357400725</v>
      </c>
      <c r="E159" s="1">
        <v>0.59375</v>
      </c>
      <c r="F159" s="1">
        <v>0.98931226765799252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B875-BC2D-F44E-AA19-0FAC3534CD89}">
  <dimension ref="A1:Y63"/>
  <sheetViews>
    <sheetView showGridLines="0" showRowColHeaders="0" tabSelected="1" zoomScale="60" zoomScaleNormal="100" workbookViewId="0">
      <selection activeCell="AD31" sqref="AD31"/>
    </sheetView>
  </sheetViews>
  <sheetFormatPr baseColWidth="10" defaultRowHeight="16"/>
  <cols>
    <col min="25" max="25" width="10.83203125" style="10"/>
  </cols>
  <sheetData>
    <row r="1" spans="1:25">
      <c r="A1" s="8"/>
      <c r="B1" s="8"/>
      <c r="C1" s="8"/>
      <c r="D1" s="8"/>
      <c r="E1" s="8"/>
      <c r="F1" s="8"/>
      <c r="G1" s="8"/>
      <c r="H1" s="8"/>
      <c r="I1" s="8"/>
      <c r="J1" s="8"/>
      <c r="K1" s="8"/>
      <c r="L1" s="8"/>
      <c r="M1" s="8"/>
      <c r="N1" s="8"/>
      <c r="O1" s="13" t="s">
        <v>45</v>
      </c>
      <c r="P1" s="13"/>
      <c r="Q1" s="13"/>
      <c r="R1" s="13"/>
      <c r="S1" s="13"/>
      <c r="T1" s="13"/>
      <c r="U1" s="13"/>
      <c r="V1" s="8"/>
      <c r="W1" s="8"/>
      <c r="X1" s="8"/>
      <c r="Y1" s="8"/>
    </row>
    <row r="2" spans="1:25">
      <c r="A2" s="8"/>
      <c r="B2" s="8"/>
      <c r="C2" s="8"/>
      <c r="D2" s="8"/>
      <c r="E2" s="8"/>
      <c r="F2" s="8"/>
      <c r="G2" s="8"/>
      <c r="H2" s="8"/>
      <c r="I2" s="8"/>
      <c r="J2" s="8"/>
      <c r="K2" s="8"/>
      <c r="L2" s="8"/>
      <c r="M2" s="8"/>
      <c r="N2" s="8"/>
      <c r="O2" s="13"/>
      <c r="P2" s="13"/>
      <c r="Q2" s="13"/>
      <c r="R2" s="13"/>
      <c r="S2" s="13"/>
      <c r="T2" s="13"/>
      <c r="U2" s="13"/>
      <c r="V2" s="8"/>
      <c r="W2" s="8"/>
      <c r="X2" s="8"/>
      <c r="Y2" s="8"/>
    </row>
    <row r="3" spans="1:25">
      <c r="A3" s="8"/>
      <c r="B3" s="8"/>
      <c r="C3" s="8"/>
      <c r="D3" s="8"/>
      <c r="E3" s="8"/>
      <c r="F3" s="8"/>
      <c r="G3" s="8"/>
      <c r="H3" s="8"/>
      <c r="I3" s="8"/>
      <c r="J3" s="8"/>
      <c r="K3" s="8"/>
      <c r="L3" s="8"/>
      <c r="M3" s="8"/>
      <c r="N3" s="8"/>
      <c r="O3" s="13"/>
      <c r="P3" s="13"/>
      <c r="Q3" s="13"/>
      <c r="R3" s="13"/>
      <c r="S3" s="13"/>
      <c r="T3" s="13"/>
      <c r="U3" s="13"/>
      <c r="V3" s="8"/>
      <c r="W3" s="8"/>
      <c r="X3" s="8"/>
      <c r="Y3" s="8"/>
    </row>
    <row r="4" spans="1:25">
      <c r="A4" s="8"/>
      <c r="B4" s="8"/>
      <c r="C4" s="8"/>
      <c r="D4" s="8"/>
      <c r="E4" s="8"/>
      <c r="F4" s="8"/>
      <c r="G4" s="8"/>
      <c r="H4" s="8"/>
      <c r="I4" s="8"/>
      <c r="J4" s="8"/>
      <c r="K4" s="8"/>
      <c r="L4" s="8"/>
      <c r="M4" s="8"/>
      <c r="N4" s="8"/>
      <c r="O4" s="13"/>
      <c r="P4" s="13"/>
      <c r="Q4" s="13"/>
      <c r="R4" s="13"/>
      <c r="S4" s="13"/>
      <c r="T4" s="13"/>
      <c r="U4" s="13"/>
      <c r="V4" s="8"/>
      <c r="W4" s="8"/>
      <c r="X4" s="8"/>
      <c r="Y4" s="8"/>
    </row>
    <row r="5" spans="1:25">
      <c r="A5" s="8"/>
      <c r="B5" s="8"/>
      <c r="C5" s="8"/>
      <c r="D5" s="8"/>
      <c r="E5" s="8"/>
      <c r="F5" s="8"/>
      <c r="G5" s="8"/>
      <c r="H5" s="8"/>
      <c r="I5" s="8"/>
      <c r="J5" s="8"/>
      <c r="K5" s="8"/>
      <c r="L5" s="8"/>
      <c r="M5" s="8"/>
      <c r="N5" s="8"/>
      <c r="O5" s="11" t="s">
        <v>46</v>
      </c>
      <c r="P5" s="12"/>
      <c r="Q5" s="12"/>
      <c r="R5" s="12"/>
      <c r="S5" s="12"/>
      <c r="T5" s="12"/>
      <c r="U5" s="12"/>
      <c r="V5" s="8"/>
      <c r="W5" s="8"/>
      <c r="X5" s="8"/>
      <c r="Y5" s="8"/>
    </row>
    <row r="6" spans="1:25">
      <c r="A6" s="8"/>
      <c r="B6" s="8"/>
      <c r="C6" s="8"/>
      <c r="D6" s="8"/>
      <c r="E6" s="8"/>
      <c r="F6" s="8"/>
      <c r="G6" s="8"/>
      <c r="H6" s="8"/>
      <c r="I6" s="8"/>
      <c r="J6" s="8"/>
      <c r="K6" s="8"/>
      <c r="L6" s="8"/>
      <c r="M6" s="8"/>
      <c r="N6" s="8"/>
      <c r="O6" s="12"/>
      <c r="P6" s="12"/>
      <c r="Q6" s="12"/>
      <c r="R6" s="12"/>
      <c r="S6" s="12"/>
      <c r="T6" s="12"/>
      <c r="U6" s="12"/>
      <c r="V6" s="8"/>
      <c r="W6" s="8"/>
      <c r="X6" s="8"/>
      <c r="Y6" s="8"/>
    </row>
    <row r="7" spans="1:25">
      <c r="A7" s="8"/>
      <c r="B7" s="8"/>
      <c r="C7" s="8"/>
      <c r="D7" s="8"/>
      <c r="E7" s="8"/>
      <c r="F7" s="8"/>
      <c r="G7" s="8"/>
      <c r="H7" s="8"/>
      <c r="I7" s="8"/>
      <c r="J7" s="8"/>
      <c r="K7" s="8"/>
      <c r="L7" s="8"/>
      <c r="M7" s="8"/>
      <c r="N7" s="8"/>
      <c r="O7" s="12"/>
      <c r="P7" s="12"/>
      <c r="Q7" s="12"/>
      <c r="R7" s="12"/>
      <c r="S7" s="12"/>
      <c r="T7" s="12"/>
      <c r="U7" s="12"/>
      <c r="V7" s="8"/>
      <c r="W7" s="8"/>
      <c r="X7" s="8"/>
      <c r="Y7" s="8"/>
    </row>
    <row r="8" spans="1:25">
      <c r="A8" s="8"/>
      <c r="B8" s="8"/>
      <c r="C8" s="8"/>
      <c r="D8" s="8"/>
      <c r="E8" s="8"/>
      <c r="F8" s="8"/>
      <c r="G8" s="8"/>
      <c r="H8" s="8"/>
      <c r="I8" s="8"/>
      <c r="J8" s="8"/>
      <c r="K8" s="8"/>
      <c r="L8" s="8"/>
      <c r="M8" s="8"/>
      <c r="N8" s="8"/>
      <c r="O8" s="12"/>
      <c r="P8" s="12"/>
      <c r="Q8" s="12"/>
      <c r="R8" s="12"/>
      <c r="S8" s="12"/>
      <c r="T8" s="12"/>
      <c r="U8" s="12"/>
      <c r="V8" s="8"/>
      <c r="W8" s="8"/>
      <c r="X8" s="8"/>
      <c r="Y8" s="8"/>
    </row>
    <row r="9" spans="1:25">
      <c r="A9" s="9"/>
      <c r="B9" s="9"/>
      <c r="C9" s="9"/>
      <c r="D9" s="9"/>
      <c r="E9" s="9"/>
      <c r="F9" s="9"/>
      <c r="G9" s="9"/>
      <c r="H9" s="9"/>
      <c r="I9" s="9"/>
      <c r="J9" s="9"/>
      <c r="K9" s="9"/>
      <c r="L9" s="9"/>
      <c r="M9" s="9"/>
      <c r="N9" s="9"/>
      <c r="O9" s="9"/>
      <c r="P9" s="9"/>
      <c r="Q9" s="9"/>
      <c r="R9" s="9"/>
      <c r="S9" s="9"/>
      <c r="T9" s="9"/>
      <c r="U9" s="9"/>
      <c r="V9" s="8"/>
      <c r="W9" s="8"/>
      <c r="X9" s="8"/>
      <c r="Y9" s="8"/>
    </row>
    <row r="10" spans="1:25">
      <c r="A10" s="9"/>
      <c r="B10" s="9"/>
      <c r="C10" s="9"/>
      <c r="D10" s="9"/>
      <c r="E10" s="9"/>
      <c r="F10" s="9"/>
      <c r="G10" s="9"/>
      <c r="H10" s="9"/>
      <c r="I10" s="9"/>
      <c r="J10" s="9"/>
      <c r="K10" s="9"/>
      <c r="L10" s="9"/>
      <c r="M10" s="9"/>
      <c r="N10" s="9"/>
      <c r="O10" s="9"/>
      <c r="P10" s="9"/>
      <c r="Q10" s="9"/>
      <c r="R10" s="9"/>
      <c r="S10" s="9"/>
      <c r="T10" s="9"/>
      <c r="U10" s="9"/>
      <c r="V10" s="8"/>
      <c r="W10" s="8"/>
      <c r="X10" s="8"/>
      <c r="Y10" s="8"/>
    </row>
    <row r="11" spans="1:25">
      <c r="A11" s="9"/>
      <c r="B11" s="9"/>
      <c r="C11" s="9"/>
      <c r="D11" s="9"/>
      <c r="E11" s="9"/>
      <c r="F11" s="9"/>
      <c r="G11" s="9"/>
      <c r="H11" s="9"/>
      <c r="I11" s="9"/>
      <c r="J11" s="9"/>
      <c r="K11" s="9"/>
      <c r="L11" s="9"/>
      <c r="M11" s="9"/>
      <c r="N11" s="9"/>
      <c r="O11" s="9"/>
      <c r="P11" s="9"/>
      <c r="Q11" s="9"/>
      <c r="R11" s="9"/>
      <c r="S11" s="9"/>
      <c r="T11" s="9"/>
      <c r="U11" s="9"/>
      <c r="V11" s="8"/>
      <c r="W11" s="8"/>
      <c r="X11" s="8"/>
      <c r="Y11" s="8"/>
    </row>
    <row r="12" spans="1:25">
      <c r="A12" s="9"/>
      <c r="B12" s="9"/>
      <c r="C12" s="9"/>
      <c r="D12" s="9"/>
      <c r="E12" s="9"/>
      <c r="F12" s="9"/>
      <c r="G12" s="9"/>
      <c r="H12" s="9"/>
      <c r="I12" s="9"/>
      <c r="J12" s="9"/>
      <c r="K12" s="9"/>
      <c r="L12" s="9"/>
      <c r="M12" s="9"/>
      <c r="N12" s="9"/>
      <c r="O12" s="9"/>
      <c r="P12" s="9"/>
      <c r="Q12" s="9"/>
      <c r="R12" s="9"/>
      <c r="S12" s="9"/>
      <c r="T12" s="9"/>
      <c r="U12" s="9"/>
      <c r="V12" s="8"/>
      <c r="W12" s="8"/>
      <c r="X12" s="8"/>
      <c r="Y12" s="8"/>
    </row>
    <row r="13" spans="1:25">
      <c r="A13" s="9"/>
      <c r="B13" s="9"/>
      <c r="C13" s="9"/>
      <c r="D13" s="9"/>
      <c r="E13" s="9"/>
      <c r="F13" s="9"/>
      <c r="G13" s="9"/>
      <c r="H13" s="9"/>
      <c r="I13" s="9"/>
      <c r="J13" s="9"/>
      <c r="K13" s="9"/>
      <c r="L13" s="9"/>
      <c r="M13" s="9"/>
      <c r="N13" s="9"/>
      <c r="O13" s="9"/>
      <c r="P13" s="9"/>
      <c r="Q13" s="9"/>
      <c r="R13" s="9"/>
      <c r="S13" s="9"/>
      <c r="T13" s="9"/>
      <c r="U13" s="9"/>
      <c r="V13" s="8"/>
      <c r="W13" s="8"/>
      <c r="X13" s="8"/>
      <c r="Y13" s="8"/>
    </row>
    <row r="14" spans="1:25">
      <c r="A14" s="9"/>
      <c r="B14" s="9"/>
      <c r="C14" s="9"/>
      <c r="D14" s="9"/>
      <c r="E14" s="9"/>
      <c r="F14" s="9"/>
      <c r="G14" s="9"/>
      <c r="H14" s="9"/>
      <c r="I14" s="9"/>
      <c r="J14" s="9"/>
      <c r="K14" s="9"/>
      <c r="L14" s="9"/>
      <c r="M14" s="9"/>
      <c r="N14" s="9"/>
      <c r="O14" s="9"/>
      <c r="P14" s="9"/>
      <c r="Q14" s="9"/>
      <c r="R14" s="9"/>
      <c r="S14" s="9"/>
      <c r="T14" s="9"/>
      <c r="U14" s="9"/>
      <c r="V14" s="8"/>
      <c r="W14" s="8"/>
      <c r="X14" s="8"/>
      <c r="Y14" s="8"/>
    </row>
    <row r="15" spans="1:25">
      <c r="A15" s="9"/>
      <c r="B15" s="9"/>
      <c r="C15" s="9"/>
      <c r="D15" s="9"/>
      <c r="E15" s="9"/>
      <c r="F15" s="9"/>
      <c r="G15" s="9"/>
      <c r="H15" s="9"/>
      <c r="I15" s="9"/>
      <c r="J15" s="9"/>
      <c r="K15" s="9"/>
      <c r="L15" s="9"/>
      <c r="M15" s="9"/>
      <c r="N15" s="9"/>
      <c r="O15" s="9"/>
      <c r="P15" s="9"/>
      <c r="Q15" s="9"/>
      <c r="R15" s="9"/>
      <c r="S15" s="9"/>
      <c r="T15" s="9"/>
      <c r="U15" s="9"/>
      <c r="V15" s="8"/>
      <c r="W15" s="8"/>
      <c r="X15" s="8"/>
      <c r="Y15" s="8"/>
    </row>
    <row r="16" spans="1:25">
      <c r="A16" s="9"/>
      <c r="B16" s="9"/>
      <c r="C16" s="9"/>
      <c r="D16" s="9"/>
      <c r="E16" s="9"/>
      <c r="F16" s="9"/>
      <c r="G16" s="9"/>
      <c r="H16" s="9"/>
      <c r="I16" s="9"/>
      <c r="J16" s="9"/>
      <c r="K16" s="9"/>
      <c r="L16" s="9"/>
      <c r="M16" s="9"/>
      <c r="N16" s="9"/>
      <c r="O16" s="9"/>
      <c r="P16" s="9"/>
      <c r="Q16" s="9"/>
      <c r="R16" s="9"/>
      <c r="S16" s="9"/>
      <c r="T16" s="9"/>
      <c r="U16" s="9"/>
      <c r="V16" s="8"/>
      <c r="W16" s="8"/>
      <c r="X16" s="8"/>
      <c r="Y16" s="8"/>
    </row>
    <row r="17" spans="1:25">
      <c r="A17" s="9"/>
      <c r="B17" s="9"/>
      <c r="C17" s="9"/>
      <c r="D17" s="9"/>
      <c r="E17" s="9"/>
      <c r="F17" s="9"/>
      <c r="G17" s="9"/>
      <c r="H17" s="9"/>
      <c r="I17" s="9"/>
      <c r="J17" s="9"/>
      <c r="K17" s="9"/>
      <c r="L17" s="9"/>
      <c r="M17" s="9"/>
      <c r="N17" s="9"/>
      <c r="O17" s="9"/>
      <c r="P17" s="9"/>
      <c r="Q17" s="9"/>
      <c r="R17" s="9"/>
      <c r="S17" s="9"/>
      <c r="T17" s="9"/>
      <c r="U17" s="9"/>
      <c r="V17" s="8"/>
      <c r="W17" s="8"/>
      <c r="X17" s="8"/>
      <c r="Y17" s="8"/>
    </row>
    <row r="18" spans="1:25">
      <c r="A18" s="9"/>
      <c r="B18" s="9"/>
      <c r="C18" s="9"/>
      <c r="D18" s="9"/>
      <c r="E18" s="9"/>
      <c r="F18" s="9"/>
      <c r="G18" s="9"/>
      <c r="H18" s="9"/>
      <c r="I18" s="9"/>
      <c r="J18" s="9"/>
      <c r="K18" s="9"/>
      <c r="L18" s="9"/>
      <c r="M18" s="9"/>
      <c r="N18" s="9"/>
      <c r="O18" s="9"/>
      <c r="P18" s="9"/>
      <c r="Q18" s="9"/>
      <c r="R18" s="9"/>
      <c r="S18" s="9"/>
      <c r="T18" s="9"/>
      <c r="U18" s="9"/>
      <c r="V18" s="8"/>
      <c r="W18" s="8"/>
      <c r="X18" s="8"/>
      <c r="Y18" s="8"/>
    </row>
    <row r="19" spans="1:25">
      <c r="A19" s="9"/>
      <c r="B19" s="9"/>
      <c r="C19" s="9"/>
      <c r="D19" s="9"/>
      <c r="E19" s="9"/>
      <c r="F19" s="9"/>
      <c r="G19" s="9"/>
      <c r="H19" s="9"/>
      <c r="I19" s="9"/>
      <c r="J19" s="9"/>
      <c r="K19" s="9"/>
      <c r="L19" s="9"/>
      <c r="M19" s="9"/>
      <c r="N19" s="9"/>
      <c r="O19" s="9"/>
      <c r="P19" s="9"/>
      <c r="Q19" s="9"/>
      <c r="R19" s="9"/>
      <c r="S19" s="9"/>
      <c r="T19" s="9"/>
      <c r="U19" s="9"/>
      <c r="V19" s="8"/>
      <c r="W19" s="8"/>
      <c r="X19" s="8"/>
      <c r="Y19" s="8"/>
    </row>
    <row r="20" spans="1:25">
      <c r="A20" s="9"/>
      <c r="B20" s="9"/>
      <c r="C20" s="9"/>
      <c r="D20" s="9"/>
      <c r="E20" s="9"/>
      <c r="F20" s="9"/>
      <c r="G20" s="9"/>
      <c r="H20" s="9"/>
      <c r="I20" s="9"/>
      <c r="J20" s="9"/>
      <c r="K20" s="9"/>
      <c r="L20" s="9"/>
      <c r="M20" s="9"/>
      <c r="N20" s="9"/>
      <c r="O20" s="9"/>
      <c r="P20" s="9"/>
      <c r="Q20" s="9"/>
      <c r="R20" s="9"/>
      <c r="S20" s="9"/>
      <c r="T20" s="9"/>
      <c r="U20" s="9"/>
      <c r="V20" s="8"/>
      <c r="W20" s="8"/>
      <c r="X20" s="8"/>
      <c r="Y20" s="8"/>
    </row>
    <row r="21" spans="1:25">
      <c r="A21" s="9"/>
      <c r="B21" s="9"/>
      <c r="C21" s="9"/>
      <c r="D21" s="9"/>
      <c r="E21" s="9"/>
      <c r="F21" s="9"/>
      <c r="G21" s="9"/>
      <c r="H21" s="9"/>
      <c r="I21" s="9"/>
      <c r="J21" s="9"/>
      <c r="K21" s="9"/>
      <c r="L21" s="9"/>
      <c r="M21" s="9"/>
      <c r="N21" s="9"/>
      <c r="O21" s="9"/>
      <c r="P21" s="9"/>
      <c r="Q21" s="9"/>
      <c r="R21" s="9"/>
      <c r="S21" s="9"/>
      <c r="T21" s="9"/>
      <c r="U21" s="9"/>
      <c r="V21" s="8"/>
      <c r="W21" s="8"/>
      <c r="X21" s="8"/>
      <c r="Y21" s="8"/>
    </row>
    <row r="22" spans="1:25">
      <c r="A22" s="9"/>
      <c r="B22" s="9"/>
      <c r="C22" s="9"/>
      <c r="D22" s="9"/>
      <c r="E22" s="9"/>
      <c r="F22" s="9"/>
      <c r="G22" s="9"/>
      <c r="H22" s="9"/>
      <c r="I22" s="9"/>
      <c r="J22" s="9"/>
      <c r="K22" s="9"/>
      <c r="L22" s="9"/>
      <c r="M22" s="9"/>
      <c r="N22" s="9"/>
      <c r="O22" s="9"/>
      <c r="P22" s="9"/>
      <c r="Q22" s="9"/>
      <c r="R22" s="9"/>
      <c r="S22" s="9"/>
      <c r="T22" s="9"/>
      <c r="U22" s="9"/>
      <c r="V22" s="8"/>
      <c r="W22" s="8"/>
      <c r="X22" s="8"/>
      <c r="Y22" s="8"/>
    </row>
    <row r="23" spans="1:25">
      <c r="A23" s="9"/>
      <c r="B23" s="9"/>
      <c r="C23" s="9"/>
      <c r="D23" s="9"/>
      <c r="E23" s="9"/>
      <c r="F23" s="9"/>
      <c r="G23" s="9"/>
      <c r="H23" s="9"/>
      <c r="I23" s="9"/>
      <c r="J23" s="9"/>
      <c r="K23" s="9"/>
      <c r="L23" s="9"/>
      <c r="M23" s="9"/>
      <c r="N23" s="9"/>
      <c r="O23" s="9"/>
      <c r="P23" s="9"/>
      <c r="Q23" s="9"/>
      <c r="R23" s="9"/>
      <c r="S23" s="9"/>
      <c r="T23" s="9"/>
      <c r="U23" s="9"/>
      <c r="V23" s="8"/>
      <c r="W23" s="8"/>
      <c r="X23" s="8"/>
      <c r="Y23" s="8"/>
    </row>
    <row r="24" spans="1:25">
      <c r="A24" s="9"/>
      <c r="B24" s="9"/>
      <c r="C24" s="9"/>
      <c r="D24" s="9"/>
      <c r="E24" s="9"/>
      <c r="F24" s="9"/>
      <c r="G24" s="9"/>
      <c r="H24" s="9"/>
      <c r="I24" s="9"/>
      <c r="J24" s="9"/>
      <c r="K24" s="9"/>
      <c r="L24" s="9"/>
      <c r="M24" s="9"/>
      <c r="N24" s="9"/>
      <c r="O24" s="9"/>
      <c r="P24" s="9"/>
      <c r="Q24" s="9"/>
      <c r="R24" s="9"/>
      <c r="S24" s="9"/>
      <c r="T24" s="9"/>
      <c r="U24" s="9"/>
      <c r="V24" s="8"/>
      <c r="W24" s="8"/>
      <c r="X24" s="8"/>
      <c r="Y24" s="8"/>
    </row>
    <row r="25" spans="1:25">
      <c r="A25" s="9"/>
      <c r="B25" s="9"/>
      <c r="C25" s="9"/>
      <c r="D25" s="9"/>
      <c r="E25" s="9"/>
      <c r="F25" s="9"/>
      <c r="G25" s="9"/>
      <c r="H25" s="9"/>
      <c r="I25" s="9"/>
      <c r="J25" s="9"/>
      <c r="K25" s="9"/>
      <c r="L25" s="9"/>
      <c r="M25" s="9"/>
      <c r="N25" s="9"/>
      <c r="O25" s="9"/>
      <c r="P25" s="9"/>
      <c r="Q25" s="9"/>
      <c r="R25" s="9"/>
      <c r="S25" s="9"/>
      <c r="T25" s="9"/>
      <c r="U25" s="9"/>
      <c r="V25" s="8"/>
      <c r="W25" s="8"/>
      <c r="X25" s="8"/>
      <c r="Y25" s="8"/>
    </row>
    <row r="26" spans="1:25">
      <c r="A26" s="9"/>
      <c r="B26" s="9"/>
      <c r="C26" s="9"/>
      <c r="D26" s="9"/>
      <c r="E26" s="9"/>
      <c r="F26" s="9"/>
      <c r="G26" s="9"/>
      <c r="H26" s="9"/>
      <c r="I26" s="9"/>
      <c r="J26" s="9"/>
      <c r="K26" s="9"/>
      <c r="L26" s="9"/>
      <c r="M26" s="9"/>
      <c r="N26" s="9"/>
      <c r="O26" s="9"/>
      <c r="P26" s="9"/>
      <c r="Q26" s="9"/>
      <c r="R26" s="9"/>
      <c r="S26" s="9"/>
      <c r="T26" s="9"/>
      <c r="U26" s="9"/>
      <c r="V26" s="8"/>
      <c r="W26" s="8"/>
      <c r="X26" s="8"/>
      <c r="Y26" s="8"/>
    </row>
    <row r="27" spans="1:25">
      <c r="A27" s="9"/>
      <c r="B27" s="9"/>
      <c r="C27" s="9"/>
      <c r="D27" s="9"/>
      <c r="E27" s="9"/>
      <c r="F27" s="9"/>
      <c r="G27" s="9"/>
      <c r="H27" s="9"/>
      <c r="I27" s="9"/>
      <c r="J27" s="9"/>
      <c r="K27" s="9"/>
      <c r="L27" s="9"/>
      <c r="M27" s="9"/>
      <c r="N27" s="9"/>
      <c r="O27" s="9"/>
      <c r="P27" s="9"/>
      <c r="Q27" s="9"/>
      <c r="R27" s="9"/>
      <c r="S27" s="9"/>
      <c r="T27" s="9"/>
      <c r="U27" s="9"/>
      <c r="V27" s="8"/>
      <c r="W27" s="8"/>
      <c r="X27" s="8"/>
      <c r="Y27" s="8"/>
    </row>
    <row r="28" spans="1:25">
      <c r="A28" s="9"/>
      <c r="B28" s="9"/>
      <c r="C28" s="9"/>
      <c r="D28" s="9"/>
      <c r="E28" s="9"/>
      <c r="F28" s="9"/>
      <c r="G28" s="9"/>
      <c r="H28" s="9"/>
      <c r="I28" s="9"/>
      <c r="J28" s="9"/>
      <c r="K28" s="9"/>
      <c r="L28" s="9"/>
      <c r="M28" s="9"/>
      <c r="N28" s="9"/>
      <c r="O28" s="9"/>
      <c r="P28" s="9"/>
      <c r="Q28" s="9"/>
      <c r="R28" s="9"/>
      <c r="S28" s="9"/>
      <c r="T28" s="9"/>
      <c r="U28" s="9"/>
      <c r="V28" s="8"/>
      <c r="W28" s="8"/>
      <c r="X28" s="8"/>
      <c r="Y28" s="8"/>
    </row>
    <row r="29" spans="1:25">
      <c r="A29" s="9"/>
      <c r="B29" s="9"/>
      <c r="C29" s="9"/>
      <c r="D29" s="9"/>
      <c r="E29" s="9"/>
      <c r="F29" s="9"/>
      <c r="G29" s="9"/>
      <c r="H29" s="9"/>
      <c r="I29" s="9"/>
      <c r="J29" s="9"/>
      <c r="K29" s="9"/>
      <c r="L29" s="9"/>
      <c r="M29" s="9"/>
      <c r="N29" s="9"/>
      <c r="O29" s="9"/>
      <c r="P29" s="9"/>
      <c r="Q29" s="9"/>
      <c r="R29" s="9"/>
      <c r="S29" s="9"/>
      <c r="T29" s="9"/>
      <c r="U29" s="9"/>
      <c r="V29" s="8"/>
      <c r="W29" s="8"/>
      <c r="X29" s="8"/>
      <c r="Y29" s="8"/>
    </row>
    <row r="30" spans="1:25">
      <c r="A30" s="9"/>
      <c r="B30" s="9"/>
      <c r="C30" s="9"/>
      <c r="D30" s="9"/>
      <c r="E30" s="9"/>
      <c r="F30" s="9"/>
      <c r="G30" s="9"/>
      <c r="H30" s="9"/>
      <c r="I30" s="9"/>
      <c r="J30" s="9"/>
      <c r="K30" s="9"/>
      <c r="L30" s="9"/>
      <c r="M30" s="9"/>
      <c r="N30" s="9"/>
      <c r="O30" s="9"/>
      <c r="P30" s="9"/>
      <c r="Q30" s="9"/>
      <c r="R30" s="9"/>
      <c r="S30" s="9"/>
      <c r="T30" s="9"/>
      <c r="U30" s="9"/>
      <c r="V30" s="8"/>
      <c r="W30" s="8"/>
      <c r="X30" s="8"/>
      <c r="Y30" s="8"/>
    </row>
    <row r="31" spans="1:25">
      <c r="A31" s="9"/>
      <c r="B31" s="9"/>
      <c r="C31" s="9"/>
      <c r="D31" s="9"/>
      <c r="E31" s="9"/>
      <c r="F31" s="9"/>
      <c r="G31" s="9"/>
      <c r="H31" s="9"/>
      <c r="I31" s="9"/>
      <c r="J31" s="9"/>
      <c r="K31" s="9"/>
      <c r="L31" s="9"/>
      <c r="M31" s="9"/>
      <c r="N31" s="9"/>
      <c r="O31" s="9"/>
      <c r="P31" s="9"/>
      <c r="Q31" s="9"/>
      <c r="R31" s="9"/>
      <c r="S31" s="9"/>
      <c r="T31" s="9"/>
      <c r="U31" s="9"/>
      <c r="V31" s="8"/>
      <c r="W31" s="8"/>
      <c r="X31" s="8"/>
      <c r="Y31" s="8"/>
    </row>
    <row r="32" spans="1:25">
      <c r="A32" s="9"/>
      <c r="B32" s="9"/>
      <c r="C32" s="9"/>
      <c r="D32" s="9"/>
      <c r="E32" s="9"/>
      <c r="F32" s="9"/>
      <c r="G32" s="9"/>
      <c r="H32" s="9"/>
      <c r="I32" s="9"/>
      <c r="J32" s="9"/>
      <c r="K32" s="9"/>
      <c r="L32" s="9"/>
      <c r="M32" s="9"/>
      <c r="N32" s="9"/>
      <c r="O32" s="9"/>
      <c r="P32" s="9"/>
      <c r="Q32" s="9"/>
      <c r="R32" s="9"/>
      <c r="S32" s="9"/>
      <c r="T32" s="9"/>
      <c r="U32" s="9"/>
      <c r="V32" s="8"/>
      <c r="W32" s="8"/>
      <c r="X32" s="8"/>
      <c r="Y32" s="8"/>
    </row>
    <row r="33" spans="1:25">
      <c r="A33" s="9"/>
      <c r="B33" s="9"/>
      <c r="C33" s="9"/>
      <c r="D33" s="9"/>
      <c r="E33" s="9"/>
      <c r="F33" s="9"/>
      <c r="G33" s="9"/>
      <c r="H33" s="9"/>
      <c r="I33" s="9"/>
      <c r="J33" s="9"/>
      <c r="K33" s="9"/>
      <c r="L33" s="9"/>
      <c r="M33" s="9"/>
      <c r="N33" s="9"/>
      <c r="O33" s="9"/>
      <c r="P33" s="9"/>
      <c r="Q33" s="9"/>
      <c r="R33" s="9"/>
      <c r="S33" s="9"/>
      <c r="T33" s="9"/>
      <c r="U33" s="9"/>
      <c r="V33" s="8"/>
      <c r="W33" s="8"/>
      <c r="X33" s="8"/>
      <c r="Y33" s="8"/>
    </row>
    <row r="34" spans="1:25">
      <c r="A34" s="9"/>
      <c r="B34" s="9"/>
      <c r="C34" s="9"/>
      <c r="D34" s="9"/>
      <c r="E34" s="9"/>
      <c r="F34" s="9"/>
      <c r="G34" s="9"/>
      <c r="H34" s="9"/>
      <c r="I34" s="9"/>
      <c r="J34" s="9"/>
      <c r="K34" s="9"/>
      <c r="L34" s="9"/>
      <c r="M34" s="9"/>
      <c r="N34" s="9"/>
      <c r="O34" s="9"/>
      <c r="P34" s="9"/>
      <c r="Q34" s="9"/>
      <c r="R34" s="9"/>
      <c r="S34" s="9"/>
      <c r="T34" s="9"/>
      <c r="U34" s="9"/>
      <c r="V34" s="8"/>
      <c r="W34" s="8"/>
      <c r="X34" s="8"/>
      <c r="Y34" s="8"/>
    </row>
    <row r="35" spans="1:25">
      <c r="A35" s="9"/>
      <c r="B35" s="9"/>
      <c r="C35" s="9"/>
      <c r="D35" s="9"/>
      <c r="E35" s="9"/>
      <c r="F35" s="9"/>
      <c r="G35" s="9"/>
      <c r="H35" s="9"/>
      <c r="I35" s="9"/>
      <c r="J35" s="9"/>
      <c r="K35" s="9"/>
      <c r="L35" s="9"/>
      <c r="M35" s="9"/>
      <c r="N35" s="9"/>
      <c r="O35" s="9"/>
      <c r="P35" s="9"/>
      <c r="Q35" s="9"/>
      <c r="R35" s="9"/>
      <c r="S35" s="9"/>
      <c r="T35" s="9"/>
      <c r="U35" s="9"/>
      <c r="V35" s="8"/>
      <c r="W35" s="8"/>
      <c r="X35" s="8"/>
      <c r="Y35" s="8"/>
    </row>
    <row r="36" spans="1:25">
      <c r="A36" s="9"/>
      <c r="B36" s="9"/>
      <c r="C36" s="9"/>
      <c r="D36" s="9"/>
      <c r="E36" s="9"/>
      <c r="F36" s="9"/>
      <c r="G36" s="9"/>
      <c r="H36" s="9"/>
      <c r="I36" s="9"/>
      <c r="J36" s="9"/>
      <c r="K36" s="9"/>
      <c r="L36" s="9"/>
      <c r="M36" s="9"/>
      <c r="N36" s="9"/>
      <c r="O36" s="9"/>
      <c r="P36" s="9"/>
      <c r="Q36" s="9"/>
      <c r="R36" s="9"/>
      <c r="S36" s="9"/>
      <c r="T36" s="9"/>
      <c r="U36" s="9"/>
      <c r="V36" s="8"/>
      <c r="W36" s="8"/>
      <c r="X36" s="8"/>
      <c r="Y36" s="8"/>
    </row>
    <row r="37" spans="1:25">
      <c r="A37" s="9"/>
      <c r="B37" s="9"/>
      <c r="C37" s="9"/>
      <c r="D37" s="9"/>
      <c r="E37" s="9"/>
      <c r="F37" s="9"/>
      <c r="G37" s="9"/>
      <c r="H37" s="9"/>
      <c r="I37" s="9"/>
      <c r="J37" s="9"/>
      <c r="K37" s="9"/>
      <c r="L37" s="9"/>
      <c r="M37" s="9"/>
      <c r="N37" s="9"/>
      <c r="O37" s="9"/>
      <c r="P37" s="9"/>
      <c r="Q37" s="9"/>
      <c r="R37" s="9"/>
      <c r="S37" s="9"/>
      <c r="T37" s="9"/>
      <c r="U37" s="9"/>
      <c r="V37" s="8"/>
      <c r="W37" s="8"/>
      <c r="X37" s="8"/>
      <c r="Y37" s="8"/>
    </row>
    <row r="38" spans="1:25">
      <c r="A38" s="9"/>
      <c r="B38" s="9"/>
      <c r="C38" s="9"/>
      <c r="D38" s="9"/>
      <c r="E38" s="9"/>
      <c r="F38" s="9"/>
      <c r="G38" s="9"/>
      <c r="H38" s="9"/>
      <c r="I38" s="9"/>
      <c r="J38" s="9"/>
      <c r="K38" s="9"/>
      <c r="L38" s="9"/>
      <c r="M38" s="9"/>
      <c r="N38" s="9"/>
      <c r="O38" s="9"/>
      <c r="P38" s="9"/>
      <c r="Q38" s="9"/>
      <c r="R38" s="9"/>
      <c r="S38" s="9"/>
      <c r="T38" s="9"/>
      <c r="U38" s="9"/>
      <c r="V38" s="8"/>
      <c r="W38" s="8"/>
      <c r="X38" s="8"/>
      <c r="Y38" s="8"/>
    </row>
    <row r="39" spans="1:25">
      <c r="A39" s="9"/>
      <c r="B39" s="9"/>
      <c r="C39" s="9"/>
      <c r="D39" s="9"/>
      <c r="E39" s="9"/>
      <c r="F39" s="9"/>
      <c r="G39" s="9"/>
      <c r="H39" s="9"/>
      <c r="I39" s="9"/>
      <c r="J39" s="9"/>
      <c r="K39" s="9"/>
      <c r="L39" s="9"/>
      <c r="M39" s="9"/>
      <c r="N39" s="9"/>
      <c r="O39" s="9"/>
      <c r="P39" s="9"/>
      <c r="Q39" s="9"/>
      <c r="R39" s="9"/>
      <c r="S39" s="9"/>
      <c r="T39" s="9"/>
      <c r="U39" s="9"/>
      <c r="V39" s="8"/>
      <c r="W39" s="8"/>
      <c r="X39" s="8"/>
      <c r="Y39" s="8"/>
    </row>
    <row r="40" spans="1:25">
      <c r="A40" s="9"/>
      <c r="B40" s="9"/>
      <c r="C40" s="9"/>
      <c r="D40" s="9"/>
      <c r="E40" s="9"/>
      <c r="F40" s="9"/>
      <c r="G40" s="9"/>
      <c r="H40" s="9"/>
      <c r="I40" s="9"/>
      <c r="J40" s="9"/>
      <c r="K40" s="9"/>
      <c r="L40" s="9"/>
      <c r="M40" s="9"/>
      <c r="N40" s="9"/>
      <c r="O40" s="9"/>
      <c r="P40" s="9"/>
      <c r="Q40" s="9"/>
      <c r="R40" s="9"/>
      <c r="S40" s="9"/>
      <c r="T40" s="9"/>
      <c r="U40" s="9"/>
      <c r="V40" s="8"/>
      <c r="W40" s="8"/>
      <c r="X40" s="8"/>
      <c r="Y40" s="8"/>
    </row>
    <row r="41" spans="1:25">
      <c r="A41" s="9"/>
      <c r="B41" s="9"/>
      <c r="C41" s="9"/>
      <c r="D41" s="9"/>
      <c r="E41" s="9"/>
      <c r="F41" s="9"/>
      <c r="G41" s="9"/>
      <c r="H41" s="9"/>
      <c r="I41" s="9"/>
      <c r="J41" s="9"/>
      <c r="K41" s="9"/>
      <c r="L41" s="9"/>
      <c r="M41" s="9"/>
      <c r="N41" s="9"/>
      <c r="O41" s="9"/>
      <c r="P41" s="9"/>
      <c r="Q41" s="9"/>
      <c r="R41" s="9"/>
      <c r="S41" s="9"/>
      <c r="T41" s="9"/>
      <c r="U41" s="9"/>
      <c r="V41" s="8"/>
      <c r="W41" s="8"/>
      <c r="X41" s="8"/>
      <c r="Y41" s="8"/>
    </row>
    <row r="42" spans="1:25">
      <c r="A42" s="9"/>
      <c r="B42" s="9"/>
      <c r="C42" s="9"/>
      <c r="D42" s="9"/>
      <c r="E42" s="9"/>
      <c r="F42" s="9"/>
      <c r="G42" s="9"/>
      <c r="H42" s="9"/>
      <c r="I42" s="9"/>
      <c r="J42" s="9"/>
      <c r="K42" s="9"/>
      <c r="L42" s="9"/>
      <c r="M42" s="9"/>
      <c r="N42" s="9"/>
      <c r="O42" s="9"/>
      <c r="P42" s="9"/>
      <c r="Q42" s="9"/>
      <c r="R42" s="9"/>
      <c r="S42" s="9"/>
      <c r="T42" s="9"/>
      <c r="U42" s="9"/>
      <c r="V42" s="8"/>
      <c r="W42" s="8"/>
      <c r="X42" s="8"/>
      <c r="Y42" s="8"/>
    </row>
    <row r="43" spans="1:25">
      <c r="A43" s="9"/>
      <c r="B43" s="9"/>
      <c r="C43" s="9"/>
      <c r="D43" s="9"/>
      <c r="E43" s="9"/>
      <c r="F43" s="9"/>
      <c r="G43" s="9"/>
      <c r="H43" s="9"/>
      <c r="I43" s="9"/>
      <c r="J43" s="9"/>
      <c r="K43" s="9"/>
      <c r="L43" s="9"/>
      <c r="M43" s="9"/>
      <c r="N43" s="9"/>
      <c r="O43" s="9"/>
      <c r="P43" s="9"/>
      <c r="Q43" s="9"/>
      <c r="R43" s="9"/>
      <c r="S43" s="9"/>
      <c r="T43" s="9"/>
      <c r="U43" s="9"/>
      <c r="V43" s="8"/>
      <c r="W43" s="8"/>
      <c r="X43" s="8"/>
      <c r="Y43" s="8"/>
    </row>
    <row r="44" spans="1:25">
      <c r="A44" s="9"/>
      <c r="B44" s="9"/>
      <c r="C44" s="9"/>
      <c r="D44" s="9"/>
      <c r="E44" s="9"/>
      <c r="F44" s="9"/>
      <c r="G44" s="9"/>
      <c r="H44" s="9"/>
      <c r="I44" s="9"/>
      <c r="J44" s="9"/>
      <c r="K44" s="9"/>
      <c r="L44" s="9"/>
      <c r="M44" s="9"/>
      <c r="N44" s="9"/>
      <c r="O44" s="9"/>
      <c r="P44" s="9"/>
      <c r="Q44" s="9"/>
      <c r="R44" s="9"/>
      <c r="S44" s="9"/>
      <c r="T44" s="9"/>
      <c r="U44" s="9"/>
      <c r="V44" s="8"/>
      <c r="W44" s="8"/>
      <c r="X44" s="8"/>
      <c r="Y44" s="8"/>
    </row>
    <row r="45" spans="1:25">
      <c r="A45" s="9"/>
      <c r="B45" s="9"/>
      <c r="C45" s="9"/>
      <c r="D45" s="9"/>
      <c r="E45" s="9"/>
      <c r="F45" s="9"/>
      <c r="G45" s="9"/>
      <c r="H45" s="9"/>
      <c r="I45" s="9"/>
      <c r="J45" s="9"/>
      <c r="K45" s="9"/>
      <c r="L45" s="9"/>
      <c r="M45" s="9"/>
      <c r="N45" s="9"/>
      <c r="O45" s="9"/>
      <c r="P45" s="9"/>
      <c r="Q45" s="9"/>
      <c r="R45" s="9"/>
      <c r="S45" s="9"/>
      <c r="T45" s="9"/>
      <c r="U45" s="9"/>
      <c r="V45" s="8"/>
      <c r="W45" s="8"/>
      <c r="X45" s="8"/>
      <c r="Y45" s="8"/>
    </row>
    <row r="46" spans="1:25">
      <c r="A46" s="9"/>
      <c r="B46" s="9"/>
      <c r="C46" s="9"/>
      <c r="D46" s="9"/>
      <c r="E46" s="9"/>
      <c r="F46" s="9"/>
      <c r="G46" s="9"/>
      <c r="H46" s="9"/>
      <c r="I46" s="9"/>
      <c r="J46" s="9"/>
      <c r="K46" s="9"/>
      <c r="L46" s="9"/>
      <c r="M46" s="9"/>
      <c r="N46" s="9"/>
      <c r="O46" s="9"/>
      <c r="P46" s="9"/>
      <c r="Q46" s="9"/>
      <c r="R46" s="9"/>
      <c r="S46" s="9"/>
      <c r="T46" s="9"/>
      <c r="U46" s="9"/>
      <c r="V46" s="8"/>
      <c r="W46" s="8"/>
      <c r="X46" s="8"/>
      <c r="Y46" s="8"/>
    </row>
    <row r="47" spans="1:25">
      <c r="A47" s="9"/>
      <c r="B47" s="9"/>
      <c r="C47" s="9"/>
      <c r="D47" s="9"/>
      <c r="E47" s="9"/>
      <c r="F47" s="9"/>
      <c r="G47" s="9"/>
      <c r="H47" s="9"/>
      <c r="I47" s="9"/>
      <c r="J47" s="9"/>
      <c r="K47" s="9"/>
      <c r="L47" s="9"/>
      <c r="M47" s="9"/>
      <c r="N47" s="9"/>
      <c r="O47" s="9"/>
      <c r="P47" s="9"/>
      <c r="Q47" s="9"/>
      <c r="R47" s="9"/>
      <c r="S47" s="9"/>
      <c r="T47" s="9"/>
      <c r="U47" s="9"/>
      <c r="V47" s="8"/>
      <c r="W47" s="8"/>
      <c r="X47" s="8"/>
      <c r="Y47" s="8"/>
    </row>
    <row r="48" spans="1:25">
      <c r="A48" s="9"/>
      <c r="B48" s="9"/>
      <c r="C48" s="9"/>
      <c r="D48" s="9"/>
      <c r="E48" s="9"/>
      <c r="F48" s="9"/>
      <c r="G48" s="9"/>
      <c r="H48" s="9"/>
      <c r="I48" s="9"/>
      <c r="J48" s="9"/>
      <c r="K48" s="9"/>
      <c r="L48" s="9"/>
      <c r="M48" s="9"/>
      <c r="N48" s="9"/>
      <c r="O48" s="9"/>
      <c r="P48" s="9"/>
      <c r="Q48" s="9"/>
      <c r="R48" s="9"/>
      <c r="S48" s="9"/>
      <c r="T48" s="9"/>
      <c r="U48" s="9"/>
      <c r="V48" s="8"/>
      <c r="W48" s="8"/>
      <c r="X48" s="8"/>
      <c r="Y48" s="8"/>
    </row>
    <row r="49" spans="1:25">
      <c r="A49" s="9"/>
      <c r="B49" s="9"/>
      <c r="C49" s="9"/>
      <c r="D49" s="9"/>
      <c r="E49" s="9"/>
      <c r="F49" s="9"/>
      <c r="G49" s="9"/>
      <c r="H49" s="9"/>
      <c r="I49" s="9"/>
      <c r="J49" s="9"/>
      <c r="K49" s="9"/>
      <c r="L49" s="9"/>
      <c r="M49" s="9"/>
      <c r="N49" s="9"/>
      <c r="O49" s="9"/>
      <c r="P49" s="9"/>
      <c r="Q49" s="9"/>
      <c r="R49" s="9"/>
      <c r="S49" s="9"/>
      <c r="T49" s="9"/>
      <c r="U49" s="9"/>
      <c r="V49" s="8"/>
      <c r="W49" s="8"/>
      <c r="X49" s="8"/>
      <c r="Y49" s="8"/>
    </row>
    <row r="50" spans="1:25">
      <c r="A50" s="9"/>
      <c r="B50" s="9"/>
      <c r="C50" s="9"/>
      <c r="D50" s="9"/>
      <c r="E50" s="9"/>
      <c r="F50" s="9"/>
      <c r="G50" s="9"/>
      <c r="H50" s="9"/>
      <c r="I50" s="9"/>
      <c r="J50" s="9"/>
      <c r="K50" s="9"/>
      <c r="L50" s="9"/>
      <c r="M50" s="9"/>
      <c r="N50" s="9"/>
      <c r="O50" s="9"/>
      <c r="P50" s="9"/>
      <c r="Q50" s="9"/>
      <c r="R50" s="9"/>
      <c r="S50" s="9"/>
      <c r="T50" s="9"/>
      <c r="U50" s="9"/>
      <c r="V50" s="8"/>
      <c r="W50" s="8"/>
      <c r="X50" s="8"/>
      <c r="Y50" s="8"/>
    </row>
    <row r="51" spans="1:25">
      <c r="A51" s="9"/>
      <c r="B51" s="9"/>
      <c r="C51" s="9"/>
      <c r="D51" s="9"/>
      <c r="E51" s="9"/>
      <c r="F51" s="9"/>
      <c r="G51" s="9"/>
      <c r="H51" s="9"/>
      <c r="I51" s="9"/>
      <c r="J51" s="9"/>
      <c r="K51" s="9"/>
      <c r="L51" s="9"/>
      <c r="M51" s="9"/>
      <c r="N51" s="9"/>
      <c r="O51" s="9"/>
      <c r="P51" s="9"/>
      <c r="Q51" s="9"/>
      <c r="R51" s="9"/>
      <c r="S51" s="9"/>
      <c r="T51" s="9"/>
      <c r="U51" s="9"/>
      <c r="V51" s="8"/>
      <c r="W51" s="8"/>
      <c r="X51" s="8"/>
      <c r="Y51" s="8"/>
    </row>
    <row r="52" spans="1:25">
      <c r="A52" s="9"/>
      <c r="B52" s="9"/>
      <c r="C52" s="9"/>
      <c r="D52" s="9"/>
      <c r="E52" s="9"/>
      <c r="F52" s="9"/>
      <c r="G52" s="9"/>
      <c r="H52" s="9"/>
      <c r="I52" s="9"/>
      <c r="J52" s="9"/>
      <c r="K52" s="9"/>
      <c r="L52" s="9"/>
      <c r="M52" s="9"/>
      <c r="N52" s="9"/>
      <c r="O52" s="9"/>
      <c r="P52" s="9"/>
      <c r="Q52" s="9"/>
      <c r="R52" s="9"/>
      <c r="S52" s="9"/>
      <c r="T52" s="9"/>
      <c r="U52" s="9"/>
      <c r="V52" s="8"/>
      <c r="W52" s="8"/>
      <c r="X52" s="8"/>
      <c r="Y52" s="8"/>
    </row>
    <row r="53" spans="1:25">
      <c r="A53" s="9"/>
      <c r="B53" s="9"/>
      <c r="C53" s="9"/>
      <c r="D53" s="9"/>
      <c r="E53" s="9"/>
      <c r="F53" s="9"/>
      <c r="G53" s="9"/>
      <c r="H53" s="9"/>
      <c r="I53" s="9"/>
      <c r="J53" s="9"/>
      <c r="K53" s="9"/>
      <c r="L53" s="9"/>
      <c r="M53" s="9"/>
      <c r="N53" s="9"/>
      <c r="O53" s="9"/>
      <c r="P53" s="9"/>
      <c r="Q53" s="9"/>
      <c r="R53" s="9"/>
      <c r="S53" s="9"/>
      <c r="T53" s="9"/>
      <c r="U53" s="9"/>
      <c r="V53" s="8"/>
      <c r="W53" s="8"/>
      <c r="X53" s="8"/>
      <c r="Y53" s="8"/>
    </row>
    <row r="54" spans="1:25">
      <c r="A54" s="9"/>
      <c r="B54" s="9"/>
      <c r="C54" s="9"/>
      <c r="D54" s="9"/>
      <c r="E54" s="9"/>
      <c r="F54" s="9"/>
      <c r="G54" s="9"/>
      <c r="H54" s="9"/>
      <c r="I54" s="9"/>
      <c r="J54" s="9"/>
      <c r="K54" s="9"/>
      <c r="L54" s="9"/>
      <c r="M54" s="9"/>
      <c r="N54" s="9"/>
      <c r="O54" s="9"/>
      <c r="P54" s="9"/>
      <c r="Q54" s="9"/>
      <c r="R54" s="9"/>
      <c r="S54" s="9"/>
      <c r="T54" s="9"/>
      <c r="U54" s="9"/>
      <c r="V54" s="8"/>
      <c r="W54" s="8"/>
      <c r="X54" s="8"/>
      <c r="Y54" s="8"/>
    </row>
    <row r="55" spans="1:25">
      <c r="A55" s="9"/>
      <c r="B55" s="9"/>
      <c r="C55" s="9"/>
      <c r="D55" s="9"/>
      <c r="E55" s="9"/>
      <c r="F55" s="9"/>
      <c r="G55" s="9"/>
      <c r="H55" s="9"/>
      <c r="I55" s="9"/>
      <c r="J55" s="9"/>
      <c r="K55" s="9"/>
      <c r="L55" s="9"/>
      <c r="M55" s="9"/>
      <c r="N55" s="9"/>
      <c r="O55" s="9"/>
      <c r="P55" s="9"/>
      <c r="Q55" s="9"/>
      <c r="R55" s="9"/>
      <c r="S55" s="9"/>
      <c r="T55" s="9"/>
      <c r="U55" s="9"/>
      <c r="V55" s="8"/>
      <c r="W55" s="8"/>
      <c r="X55" s="8"/>
      <c r="Y55" s="8"/>
    </row>
    <row r="56" spans="1:25">
      <c r="A56" s="9"/>
      <c r="B56" s="9"/>
      <c r="C56" s="9"/>
      <c r="D56" s="9"/>
      <c r="E56" s="9"/>
      <c r="F56" s="9"/>
      <c r="G56" s="9"/>
      <c r="H56" s="9"/>
      <c r="I56" s="9"/>
      <c r="J56" s="9"/>
      <c r="K56" s="9"/>
      <c r="L56" s="9"/>
      <c r="M56" s="9"/>
      <c r="N56" s="9"/>
      <c r="O56" s="9"/>
      <c r="P56" s="9"/>
      <c r="Q56" s="9"/>
      <c r="R56" s="9"/>
      <c r="S56" s="9"/>
      <c r="T56" s="9"/>
      <c r="U56" s="9"/>
      <c r="V56" s="8"/>
      <c r="W56" s="8"/>
      <c r="X56" s="8"/>
      <c r="Y56" s="8"/>
    </row>
    <row r="57" spans="1:25">
      <c r="A57" s="9"/>
      <c r="B57" s="9"/>
      <c r="C57" s="9"/>
      <c r="D57" s="9"/>
      <c r="E57" s="9"/>
      <c r="F57" s="9"/>
      <c r="G57" s="9"/>
      <c r="H57" s="9"/>
      <c r="I57" s="9"/>
      <c r="J57" s="9"/>
      <c r="K57" s="9"/>
      <c r="L57" s="9"/>
      <c r="M57" s="9"/>
      <c r="N57" s="9"/>
      <c r="O57" s="9"/>
      <c r="P57" s="9"/>
      <c r="Q57" s="9"/>
      <c r="R57" s="9"/>
      <c r="S57" s="9"/>
      <c r="T57" s="9"/>
      <c r="U57" s="9"/>
      <c r="V57" s="8"/>
      <c r="W57" s="8"/>
      <c r="X57" s="8"/>
      <c r="Y57" s="8"/>
    </row>
    <row r="58" spans="1:25">
      <c r="A58" s="9"/>
      <c r="B58" s="9"/>
      <c r="C58" s="9"/>
      <c r="D58" s="9"/>
      <c r="E58" s="9"/>
      <c r="F58" s="9"/>
      <c r="G58" s="9"/>
      <c r="H58" s="9"/>
      <c r="I58" s="9"/>
      <c r="J58" s="9"/>
      <c r="K58" s="9"/>
      <c r="L58" s="9"/>
      <c r="M58" s="9"/>
      <c r="N58" s="9"/>
      <c r="O58" s="9"/>
      <c r="P58" s="9"/>
      <c r="Q58" s="9"/>
      <c r="R58" s="9"/>
      <c r="S58" s="9"/>
      <c r="T58" s="9"/>
      <c r="U58" s="9"/>
      <c r="V58" s="8"/>
      <c r="W58" s="8"/>
      <c r="X58" s="8"/>
      <c r="Y58" s="8"/>
    </row>
    <row r="59" spans="1:25">
      <c r="A59" s="9"/>
      <c r="B59" s="9"/>
      <c r="C59" s="9"/>
      <c r="D59" s="9"/>
      <c r="E59" s="9"/>
      <c r="F59" s="9"/>
      <c r="G59" s="9"/>
      <c r="H59" s="9"/>
      <c r="I59" s="9"/>
      <c r="J59" s="9"/>
      <c r="K59" s="9"/>
      <c r="L59" s="9"/>
      <c r="M59" s="9"/>
      <c r="N59" s="9"/>
      <c r="O59" s="9"/>
      <c r="P59" s="9"/>
      <c r="Q59" s="9"/>
      <c r="R59" s="9"/>
      <c r="S59" s="9"/>
      <c r="T59" s="9"/>
      <c r="U59" s="9"/>
      <c r="V59" s="8"/>
      <c r="W59" s="8"/>
      <c r="X59" s="8"/>
      <c r="Y59" s="8"/>
    </row>
    <row r="60" spans="1:25">
      <c r="A60" s="9"/>
      <c r="B60" s="9"/>
      <c r="C60" s="9"/>
      <c r="D60" s="9"/>
      <c r="E60" s="9"/>
      <c r="F60" s="9"/>
      <c r="G60" s="9"/>
      <c r="H60" s="9"/>
      <c r="I60" s="9"/>
      <c r="J60" s="9"/>
      <c r="K60" s="9"/>
      <c r="L60" s="9"/>
      <c r="M60" s="9"/>
      <c r="N60" s="9"/>
      <c r="O60" s="9"/>
      <c r="P60" s="9"/>
      <c r="Q60" s="9"/>
      <c r="R60" s="9"/>
      <c r="S60" s="9"/>
      <c r="T60" s="9"/>
      <c r="U60" s="9"/>
      <c r="V60" s="8"/>
      <c r="W60" s="8"/>
      <c r="X60" s="8"/>
      <c r="Y60" s="8"/>
    </row>
    <row r="61" spans="1:25">
      <c r="A61" s="9"/>
      <c r="B61" s="9"/>
      <c r="C61" s="9"/>
      <c r="D61" s="9"/>
      <c r="E61" s="9"/>
      <c r="F61" s="9"/>
      <c r="G61" s="9"/>
      <c r="H61" s="9"/>
      <c r="I61" s="9"/>
      <c r="J61" s="9"/>
      <c r="K61" s="9"/>
      <c r="L61" s="9"/>
      <c r="M61" s="9"/>
      <c r="N61" s="9"/>
      <c r="O61" s="9"/>
      <c r="P61" s="9"/>
      <c r="Q61" s="9"/>
      <c r="R61" s="9"/>
      <c r="S61" s="9"/>
      <c r="T61" s="9"/>
      <c r="U61" s="9"/>
      <c r="V61" s="8"/>
      <c r="W61" s="8"/>
      <c r="X61" s="8"/>
      <c r="Y61" s="8"/>
    </row>
    <row r="62" spans="1:25">
      <c r="A62" s="9"/>
      <c r="B62" s="9"/>
      <c r="C62" s="9"/>
      <c r="D62" s="9"/>
      <c r="E62" s="9"/>
      <c r="F62" s="9"/>
      <c r="G62" s="9"/>
      <c r="H62" s="9"/>
      <c r="I62" s="9"/>
      <c r="J62" s="9"/>
      <c r="K62" s="9"/>
      <c r="L62" s="9"/>
      <c r="M62" s="9"/>
      <c r="N62" s="9"/>
      <c r="O62" s="9"/>
      <c r="P62" s="9"/>
      <c r="Q62" s="9"/>
      <c r="R62" s="9"/>
      <c r="S62" s="9"/>
      <c r="T62" s="9"/>
      <c r="U62" s="9"/>
      <c r="V62" s="8"/>
      <c r="W62" s="8"/>
      <c r="X62" s="8"/>
      <c r="Y62" s="8"/>
    </row>
    <row r="63" spans="1:25">
      <c r="A63" s="9"/>
      <c r="B63" s="9"/>
      <c r="C63" s="9"/>
      <c r="D63" s="9"/>
      <c r="E63" s="9"/>
      <c r="F63" s="9"/>
      <c r="G63" s="9"/>
      <c r="H63" s="9"/>
      <c r="I63" s="9"/>
      <c r="J63" s="9"/>
      <c r="K63" s="9"/>
      <c r="L63" s="9"/>
      <c r="M63" s="9"/>
      <c r="N63" s="9"/>
      <c r="O63" s="9"/>
      <c r="P63" s="9"/>
      <c r="Q63" s="9"/>
      <c r="R63" s="9"/>
      <c r="S63" s="9"/>
      <c r="T63" s="9"/>
      <c r="U63" s="9"/>
      <c r="V63" s="8"/>
      <c r="W63" s="8"/>
      <c r="X63" s="8"/>
      <c r="Y63" s="8"/>
    </row>
  </sheetData>
  <mergeCells count="2">
    <mergeCell ref="O1:U4"/>
    <mergeCell ref="O5:U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D6E0D-3008-5C42-BD5B-31F6D5BB981E}">
  <dimension ref="A6:C17"/>
  <sheetViews>
    <sheetView workbookViewId="0">
      <selection activeCell="E6" sqref="E6"/>
    </sheetView>
  </sheetViews>
  <sheetFormatPr baseColWidth="10" defaultRowHeight="16"/>
  <cols>
    <col min="1" max="1" width="13.5" bestFit="1" customWidth="1"/>
    <col min="2" max="2" width="9" style="15" bestFit="1" customWidth="1"/>
    <col min="3" max="3" width="10.6640625" style="15" bestFit="1" customWidth="1"/>
    <col min="4" max="4" width="18.33203125" bestFit="1" customWidth="1"/>
    <col min="5" max="6" width="17" bestFit="1" customWidth="1"/>
  </cols>
  <sheetData>
    <row r="6" spans="1:3">
      <c r="A6" s="2" t="s">
        <v>38</v>
      </c>
      <c r="B6" s="14" t="s">
        <v>48</v>
      </c>
      <c r="C6" s="14" t="s">
        <v>47</v>
      </c>
    </row>
    <row r="7" spans="1:3">
      <c r="A7" s="3" t="s">
        <v>13</v>
      </c>
      <c r="B7" s="14">
        <v>552466</v>
      </c>
      <c r="C7" s="14">
        <v>1701890</v>
      </c>
    </row>
    <row r="8" spans="1:3">
      <c r="A8" s="3" t="s">
        <v>14</v>
      </c>
      <c r="B8" s="14">
        <v>506150</v>
      </c>
      <c r="C8" s="14">
        <v>1649363</v>
      </c>
    </row>
    <row r="9" spans="1:3">
      <c r="A9" s="3" t="s">
        <v>15</v>
      </c>
      <c r="B9" s="14">
        <v>361689</v>
      </c>
      <c r="C9" s="14">
        <v>1782467</v>
      </c>
    </row>
    <row r="10" spans="1:3">
      <c r="A10" s="3" t="s">
        <v>12</v>
      </c>
      <c r="B10" s="14">
        <v>361032</v>
      </c>
      <c r="C10" s="14">
        <v>635984</v>
      </c>
    </row>
    <row r="11" spans="1:3">
      <c r="A11" s="3" t="s">
        <v>16</v>
      </c>
      <c r="B11" s="14">
        <v>253878</v>
      </c>
      <c r="C11" s="14">
        <v>1482761</v>
      </c>
    </row>
    <row r="12" spans="1:3">
      <c r="A12" s="3" t="s">
        <v>17</v>
      </c>
      <c r="B12" s="14">
        <v>158068</v>
      </c>
      <c r="C12" s="14">
        <v>998816</v>
      </c>
    </row>
    <row r="13" spans="1:3">
      <c r="A13" s="3" t="s">
        <v>18</v>
      </c>
      <c r="B13" s="14">
        <v>93330</v>
      </c>
      <c r="C13" s="14">
        <v>581965</v>
      </c>
    </row>
    <row r="14" spans="1:3">
      <c r="A14" s="3" t="s">
        <v>19</v>
      </c>
      <c r="B14" s="14">
        <v>68348</v>
      </c>
      <c r="C14" s="14">
        <v>410740</v>
      </c>
    </row>
    <row r="15" spans="1:3">
      <c r="A15" s="3" t="s">
        <v>10</v>
      </c>
      <c r="B15" s="14">
        <v>43048</v>
      </c>
      <c r="C15" s="14">
        <v>1367</v>
      </c>
    </row>
    <row r="16" spans="1:3">
      <c r="A16" s="3" t="s">
        <v>20</v>
      </c>
      <c r="B16" s="14">
        <v>30811</v>
      </c>
      <c r="C16" s="14">
        <v>227400</v>
      </c>
    </row>
    <row r="17" spans="1:3">
      <c r="A17" s="3" t="s">
        <v>11</v>
      </c>
      <c r="B17" s="14">
        <v>14773</v>
      </c>
      <c r="C17" s="14">
        <v>174876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60AC5-861C-684C-9CD6-F0C9CCD48CA1}">
  <dimension ref="B7:C20"/>
  <sheetViews>
    <sheetView workbookViewId="0">
      <selection activeCell="J16" sqref="J16"/>
    </sheetView>
  </sheetViews>
  <sheetFormatPr baseColWidth="10" defaultRowHeight="16"/>
  <cols>
    <col min="2" max="2" width="11.83203125" bestFit="1" customWidth="1"/>
    <col min="3" max="3" width="10.83203125" customWidth="1"/>
    <col min="4" max="4" width="24.33203125" customWidth="1"/>
    <col min="5" max="7" width="24.33203125" bestFit="1" customWidth="1"/>
  </cols>
  <sheetData>
    <row r="7" spans="2:3">
      <c r="B7" s="2" t="s">
        <v>0</v>
      </c>
      <c r="C7" t="s">
        <v>44</v>
      </c>
    </row>
    <row r="8" spans="2:3">
      <c r="B8" s="3" t="s">
        <v>29</v>
      </c>
      <c r="C8" s="7">
        <v>0.17390142075593568</v>
      </c>
    </row>
    <row r="9" spans="2:3">
      <c r="B9" s="3" t="s">
        <v>32</v>
      </c>
      <c r="C9" s="7">
        <v>0.17613103859994622</v>
      </c>
    </row>
    <row r="10" spans="2:3">
      <c r="B10" s="3" t="s">
        <v>28</v>
      </c>
      <c r="C10" s="7">
        <v>0.18240137495373795</v>
      </c>
    </row>
    <row r="11" spans="2:3">
      <c r="B11" s="3" t="s">
        <v>9</v>
      </c>
      <c r="C11" s="7">
        <v>0.18966088433457468</v>
      </c>
    </row>
    <row r="12" spans="2:3">
      <c r="B12" s="3" t="s">
        <v>22</v>
      </c>
      <c r="C12" s="7">
        <v>0.18992495044192081</v>
      </c>
    </row>
    <row r="13" spans="2:3">
      <c r="B13" s="3" t="s">
        <v>21</v>
      </c>
      <c r="C13" s="7">
        <v>0.19774810124575135</v>
      </c>
    </row>
    <row r="14" spans="2:3">
      <c r="B14" s="3" t="s">
        <v>25</v>
      </c>
      <c r="C14" s="7">
        <v>0.20057732584320948</v>
      </c>
    </row>
    <row r="15" spans="2:3">
      <c r="B15" s="3" t="s">
        <v>30</v>
      </c>
      <c r="C15" s="7">
        <v>0.21305544173044461</v>
      </c>
    </row>
    <row r="16" spans="2:3">
      <c r="B16" s="3" t="s">
        <v>27</v>
      </c>
      <c r="C16" s="7">
        <v>0.22346756612791194</v>
      </c>
    </row>
    <row r="17" spans="2:3">
      <c r="B17" s="3" t="s">
        <v>26</v>
      </c>
      <c r="C17" s="7">
        <v>0.2395553014931118</v>
      </c>
    </row>
    <row r="18" spans="2:3">
      <c r="B18" s="3" t="s">
        <v>23</v>
      </c>
      <c r="C18" s="7">
        <v>0.24278274616410858</v>
      </c>
    </row>
    <row r="19" spans="2:3">
      <c r="B19" s="3" t="s">
        <v>31</v>
      </c>
      <c r="C19" s="7">
        <v>0.27345909240595589</v>
      </c>
    </row>
    <row r="20" spans="2:3">
      <c r="B20" s="3" t="s">
        <v>24</v>
      </c>
      <c r="C20" s="7">
        <v>0.29156117072077692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19EE-012D-9243-A87A-06BD227C134E}">
  <dimension ref="A1:B12"/>
  <sheetViews>
    <sheetView workbookViewId="0">
      <selection activeCell="B5" sqref="B5"/>
    </sheetView>
  </sheetViews>
  <sheetFormatPr baseColWidth="10" defaultRowHeight="16"/>
  <cols>
    <col min="1" max="1" width="13.5" bestFit="1" customWidth="1"/>
    <col min="2" max="2" width="25.6640625" style="6" bestFit="1" customWidth="1"/>
    <col min="3" max="3" width="25" customWidth="1"/>
    <col min="4" max="4" width="25.6640625" bestFit="1" customWidth="1"/>
    <col min="5" max="6" width="24.33203125" bestFit="1" customWidth="1"/>
  </cols>
  <sheetData>
    <row r="1" spans="1:2">
      <c r="A1" s="2" t="s">
        <v>38</v>
      </c>
      <c r="B1" t="s">
        <v>40</v>
      </c>
    </row>
    <row r="2" spans="1:2">
      <c r="A2" s="3" t="s">
        <v>12</v>
      </c>
      <c r="B2" s="7">
        <v>0.33319384467162177</v>
      </c>
    </row>
    <row r="3" spans="1:2">
      <c r="A3" s="3" t="s">
        <v>13</v>
      </c>
      <c r="B3" s="7">
        <v>0.45008920134033581</v>
      </c>
    </row>
    <row r="4" spans="1:2">
      <c r="A4" s="3" t="s">
        <v>14</v>
      </c>
      <c r="B4" s="7">
        <v>0.47019415758398164</v>
      </c>
    </row>
    <row r="5" spans="1:2">
      <c r="A5" s="3" t="s">
        <v>15</v>
      </c>
      <c r="B5" s="7">
        <v>0.48923959118194676</v>
      </c>
    </row>
    <row r="6" spans="1:2">
      <c r="A6" s="3" t="s">
        <v>16</v>
      </c>
      <c r="B6" s="7">
        <v>0.50876633958614204</v>
      </c>
    </row>
    <row r="7" spans="1:2">
      <c r="A7" s="3" t="s">
        <v>17</v>
      </c>
      <c r="B7" s="7">
        <v>0.47458967622064352</v>
      </c>
    </row>
    <row r="8" spans="1:2">
      <c r="A8" s="3" t="s">
        <v>18</v>
      </c>
      <c r="B8" s="7">
        <v>0.47079803190789771</v>
      </c>
    </row>
    <row r="9" spans="1:2">
      <c r="A9" s="3" t="s">
        <v>19</v>
      </c>
      <c r="B9" s="7">
        <v>0.4285382281751659</v>
      </c>
    </row>
    <row r="10" spans="1:2">
      <c r="A10" s="3" t="s">
        <v>20</v>
      </c>
      <c r="B10" s="7">
        <v>0.41033964471666767</v>
      </c>
    </row>
    <row r="11" spans="1:2">
      <c r="A11" s="3" t="s">
        <v>10</v>
      </c>
      <c r="B11" s="7">
        <v>0.30046492771191047</v>
      </c>
    </row>
    <row r="12" spans="1:2">
      <c r="A12" s="3" t="s">
        <v>11</v>
      </c>
      <c r="B12" s="7">
        <v>0.3695029883121696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DBB050-A146-1E4B-B28F-53395FF105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vt:lpstr>
      <vt:lpstr>Analysis</vt:lpstr>
      <vt:lpstr>Dashboard</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mohammed abdullah alqasem</dc:creator>
  <cp:lastModifiedBy>Sarah mohammed abdullah alqasem</cp:lastModifiedBy>
  <dcterms:created xsi:type="dcterms:W3CDTF">2025-11-19T18:49:32Z</dcterms:created>
  <dcterms:modified xsi:type="dcterms:W3CDTF">2025-11-22T21:53:40Z</dcterms:modified>
</cp:coreProperties>
</file>